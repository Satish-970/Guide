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r Stories" sheetId="1" state="visible" r:id="rId3"/>
    <sheet name="Epics" sheetId="2" state="visible" r:id="rId4"/>
    <sheet name="Sprint Plan" sheetId="3" state="visible" r:id="rId5"/>
    <sheet name="Team Assignments" sheetId="4" state="visible" r:id="rId6"/>
    <sheet name="Summary 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<sst xmlns="http://schemas.openxmlformats.org/spreadsheetml/2006/main" count="1241" uniqueCount="421">
  <si>
    <t xml:space="preserve">CityCare — User Stories &amp; Jira Backlog</t>
  </si>
  <si>
    <t xml:space="preserve">Story ID</t>
  </si>
  <si>
    <t xml:space="preserve">Epic</t>
  </si>
  <si>
    <t xml:space="preserve">Type</t>
  </si>
  <si>
    <t xml:space="preserve">Priority</t>
  </si>
  <si>
    <t xml:space="preserve">Title</t>
  </si>
  <si>
    <t xml:space="preserve">As a...</t>
  </si>
  <si>
    <t xml:space="preserve">I want to...</t>
  </si>
  <si>
    <t xml:space="preserve">So that...</t>
  </si>
  <si>
    <t xml:space="preserve">Acceptance Criteria</t>
  </si>
  <si>
    <t xml:space="preserve">Story Points</t>
  </si>
  <si>
    <t xml:space="preserve">Assignee</t>
  </si>
  <si>
    <t xml:space="preserve">Sprint</t>
  </si>
  <si>
    <t xml:space="preserve">Status</t>
  </si>
  <si>
    <t xml:space="preserve">Notes</t>
  </si>
  <si>
    <t xml:space="preserve">US-001</t>
  </si>
  <si>
    <t xml:space="preserve">EP-01</t>
  </si>
  <si>
    <t xml:space="preserve">Story</t>
  </si>
  <si>
    <t xml:space="preserve">High</t>
  </si>
  <si>
    <t xml:space="preserve">Single login page for all roles</t>
  </si>
  <si>
    <t xml:space="preserve">Any user (Citizen / Dispatcher / HospitalAdmin)</t>
  </si>
  <si>
    <t xml:space="preserve">log in from one single login page using my email and password</t>
  </si>
  <si>
    <t xml:space="preserve">I don't need to know which portal URL to go to — the system routes me automatically</t>
  </si>
  <si>
    <t xml:space="preserve">1. Login page accepts Email + Password
2. On success, reads Role from User table
3. Citizen → Citizen Portal, Dispatcher → Dispatch Console, HospitalAdmin → Admin Panel
4. Wrong credentials show inline error
5. JWT token issued and stored in session</t>
  </si>
  <si>
    <t xml:space="preserve">Dev1</t>
  </si>
  <si>
    <t xml:space="preserve">Sprint 1</t>
  </si>
  <si>
    <t xml:space="preserve">To Do</t>
  </si>
  <si>
    <t xml:space="preserve">Single page, role-based redirect</t>
  </si>
  <si>
    <t xml:space="preserve">US-002</t>
  </si>
  <si>
    <t xml:space="preserve">Citizen self-registration</t>
  </si>
  <si>
    <t xml:space="preserve">Citizen</t>
  </si>
  <si>
    <t xml:space="preserve">create my own CityCare account</t>
  </si>
  <si>
    <t xml:space="preserve">I can log in and report emergencies or view my records</t>
  </si>
  <si>
    <t xml:space="preserve">1. Register form: Name, Email, Phone, Password, Confirm Password
2. Email must be unique — show error if taken
3. Phone must be unique — show error if taken
4. Password min 8 chars
5. On success: User row created, Role=Citizen, Status=Active
6. Redirect to login page</t>
  </si>
  <si>
    <t xml:space="preserve">Only Citizens self-register. Dispatchers and Admins are created by super-admin.</t>
  </si>
  <si>
    <t xml:space="preserve">US-003</t>
  </si>
  <si>
    <t xml:space="preserve">Admin creates Dispatcher account</t>
  </si>
  <si>
    <t xml:space="preserve">HospitalAdmin</t>
  </si>
  <si>
    <t xml:space="preserve">create a login account for a new Dispatcher at my facility</t>
  </si>
  <si>
    <t xml:space="preserve">the Dispatcher can log in and start handling emergencies</t>
  </si>
  <si>
    <t xml:space="preserve">1. Admin fills: Name, Email, Phone, Temp Password, Facility (auto = admin's facility)
2. User row created with Role=Dispatcher
3. DispatcherProfile row created with FacilityID and IsOnDuty=FALSE
4. Dispatcher gets email with temp credentials</t>
  </si>
  <si>
    <t xml:space="preserve">Admin can only create Dispatchers for their own facility</t>
  </si>
  <si>
    <t xml:space="preserve">US-004</t>
  </si>
  <si>
    <t xml:space="preserve">Medium</t>
  </si>
  <si>
    <t xml:space="preserve">Change password</t>
  </si>
  <si>
    <t xml:space="preserve">Any logged-in user</t>
  </si>
  <si>
    <t xml:space="preserve">change my password from my profile</t>
  </si>
  <si>
    <t xml:space="preserve">I can keep my account secure</t>
  </si>
  <si>
    <t xml:space="preserve">1. Form: Old Password, New Password, Confirm New
2. Verify old password before accepting change
3. New password hashed and saved
4. Session invalidated — must log in again</t>
  </si>
  <si>
    <t xml:space="preserve">US-005</t>
  </si>
  <si>
    <t xml:space="preserve">Dispatcher shift toggle (On Duty / Off Duty)</t>
  </si>
  <si>
    <t xml:space="preserve">Dispatcher</t>
  </si>
  <si>
    <t xml:space="preserve">toggle my shift status between On Duty and Off Duty</t>
  </si>
  <si>
    <t xml:space="preserve">emergency calls only reach me when I am actively on shift</t>
  </si>
  <si>
    <t xml:space="preserve">1. Toggle button visible in Dispatcher Console header
2. IsOnDuty=TRUE: Dispatcher receives incoming emergencies
3. IsOnDuty=FALSE: No new emergencies routed to this dispatcher
4. Status visible to HospitalAdmin</t>
  </si>
  <si>
    <t xml:space="preserve">Dev2</t>
  </si>
  <si>
    <t xml:space="preserve">Sprint 2</t>
  </si>
  <si>
    <t xml:space="preserve">Critical for emergency routing logic</t>
  </si>
  <si>
    <t xml:space="preserve">US-006</t>
  </si>
  <si>
    <t xml:space="preserve">EP-02</t>
  </si>
  <si>
    <t xml:space="preserve">HospitalAdmin manages facility details</t>
  </si>
  <si>
    <t xml:space="preserve">view and update my facility's name, address, and bed count</t>
  </si>
  <si>
    <t xml:space="preserve">the system always shows accurate facility information</t>
  </si>
  <si>
    <t xml:space="preserve">1. Admin sees pre-filled form with current facility data
2. Can edit: Name, Address, Lat/Lon, Total Beds, Status
3. AvailableBeds cannot be manually edited (system-controlled)
4. Changes saved and reflected immediately</t>
  </si>
  <si>
    <t xml:space="preserve">Dev3</t>
  </si>
  <si>
    <t xml:space="preserve">One admin manages one facility</t>
  </si>
  <si>
    <t xml:space="preserve">US-007</t>
  </si>
  <si>
    <t xml:space="preserve">Add a Staff member (Doctor or Nurse)</t>
  </si>
  <si>
    <t xml:space="preserve">add a new Doctor or Nurse to my facility's staff roster</t>
  </si>
  <si>
    <t xml:space="preserve">they can be assigned to patients and write treatment records</t>
  </si>
  <si>
    <t xml:space="preserve">1. Form: Name, Role (Doctor/Nurse), Specialization, Phone
2. Staff row created, linked to admin's FacilityID
3. Status defaults to Active
4. Staff appears in the roster immediately</t>
  </si>
  <si>
    <t xml:space="preserve">Staff are NOT system users — no login account</t>
  </si>
  <si>
    <t xml:space="preserve">US-008</t>
  </si>
  <si>
    <t xml:space="preserve">Edit or deactivate a Staff member</t>
  </si>
  <si>
    <t xml:space="preserve">edit a staff member's details or mark them as Inactive</t>
  </si>
  <si>
    <t xml:space="preserve">the roster always reflects current team composition</t>
  </si>
  <si>
    <t xml:space="preserve">1. Edit: Name, Specialization, Phone, Status
2. Inactive staff are removed from patient assignment dropdown
3. Existing treatment records linked to them are preserved
4. On Leave status keeps them in roster but flags them as unavailable</t>
  </si>
  <si>
    <t xml:space="preserve">US-009</t>
  </si>
  <si>
    <t xml:space="preserve">View staff list with role filter</t>
  </si>
  <si>
    <t xml:space="preserve">see a filtered list of all staff by role (All / Doctors / Nurses)</t>
  </si>
  <si>
    <t xml:space="preserve">I can quickly find the right staff member</t>
  </si>
  <si>
    <t xml:space="preserve">1. Tabs: All, Doctors, Nurses
2. Each row shows: Name, Role, Specialization, Status
3. Search by name
4. Sort by name or status</t>
  </si>
  <si>
    <t xml:space="preserve">Dev5</t>
  </si>
  <si>
    <t xml:space="preserve">Sprint 3</t>
  </si>
  <si>
    <t xml:space="preserve">US-010</t>
  </si>
  <si>
    <t xml:space="preserve">EP-03</t>
  </si>
  <si>
    <t xml:space="preserve">HospitalAdmin adds ambulance to fleet</t>
  </si>
  <si>
    <t xml:space="preserve">register a new ambulance vehicle into the system</t>
  </si>
  <si>
    <t xml:space="preserve">Dispatchers can see and deploy it during emergencies</t>
  </si>
  <si>
    <t xml:space="preserve">1. Form: Vehicle Number (unique), Model (optional)
2. Ambulance row created, FacilityID = admin's facility
3. Default Status = Available
4. Appears in fleet list and Dispatcher's available pool immediately</t>
  </si>
  <si>
    <t xml:space="preserve">US-011</t>
  </si>
  <si>
    <t xml:space="preserve">HospitalAdmin sets ambulance to Maintenance</t>
  </si>
  <si>
    <t xml:space="preserve">mark an ambulance as Under Maintenance</t>
  </si>
  <si>
    <t xml:space="preserve">Dispatchers do not accidentally try to deploy a vehicle that is out of service</t>
  </si>
  <si>
    <t xml:space="preserve">1. Admin can only set to Maintenance if current Status = Available
2. If Status = Dispatched: show error — wait for it to return
3. On save: Status → Maintenance, removed from Dispatcher available pool
4. Admin can set back to Available when service is done</t>
  </si>
  <si>
    <t xml:space="preserve">Cannot set Dispatched ambulance to Maintenance</t>
  </si>
  <si>
    <t xml:space="preserve">US-012</t>
  </si>
  <si>
    <t xml:space="preserve">Low</t>
  </si>
  <si>
    <t xml:space="preserve">View full ambulance fleet with status</t>
  </si>
  <si>
    <t xml:space="preserve">see all my facility's ambulances and their current status</t>
  </si>
  <si>
    <t xml:space="preserve">I always know how many vehicles are available</t>
  </si>
  <si>
    <t xml:space="preserve">1. Table: Vehicle Number, Model, Status (colour-coded)
2. Status badge: green=Available, orange=Dispatched, grey=Maintenance
3. Count summary at top: X Available, Y Dispatched, Z Maintenance
4. Filter by status</t>
  </si>
  <si>
    <t xml:space="preserve">US-013</t>
  </si>
  <si>
    <t xml:space="preserve">EP-04</t>
  </si>
  <si>
    <t xml:space="preserve">Critical</t>
  </si>
  <si>
    <t xml:space="preserve">Citizen reports emergency for themselves</t>
  </si>
  <si>
    <t xml:space="preserve">quickly report a medical emergency for myself with my GPS location</t>
  </si>
  <si>
    <t xml:space="preserve">an ambulance is dispatched to my location as fast as possible</t>
  </si>
  <si>
    <t xml:space="preserve">1. Form: Emergency Type (Accident / Heart Attack / Fire / Other)
2. VictimType = SELF auto-set
3. GPS auto-detected — shown on map — editable if wrong
4. Optional description field
5. On submit: Emergency row created, VictimUserID = logged-in citizen's ID
6. System auto-assigns nearest Active Facility (AssignedFacilityID)
7. Status = REPORTED
8. Citizen sees confirmation screen with emergency ID</t>
  </si>
  <si>
    <t xml:space="preserve">Highest priority story in the system</t>
  </si>
  <si>
    <t xml:space="preserve">US-014</t>
  </si>
  <si>
    <t xml:space="preserve">Citizen reports emergency for someone else</t>
  </si>
  <si>
    <t xml:space="preserve">report a medical emergency for another person (friend, stranger, accident victim)</t>
  </si>
  <si>
    <t xml:space="preserve">help reaches the victim even though I am the one making the call</t>
  </si>
  <si>
    <t xml:space="preserve">1. User selects 'Someone Else' as victim
2. VictimType = OTHER
3. Option A: Search for registered CityCare user by name/phone → sets VictimUserID
4. Option B: Enter victim's name manually → sets VictimName, VictimUserID = NULL
5. All other fields same as US-013
6. Patient record later created for the VICTIM not the reporter</t>
  </si>
  <si>
    <t xml:space="preserve">Core business rule: citizen ≠ patient always</t>
  </si>
  <si>
    <t xml:space="preserve">US-015</t>
  </si>
  <si>
    <t xml:space="preserve">Emergency auto-routed to nearest facility's Dispatcher</t>
  </si>
  <si>
    <t xml:space="preserve">System</t>
  </si>
  <si>
    <t xml:space="preserve">automatically assign an incoming emergency to the on-duty Dispatcher of the nearest facility</t>
  </si>
  <si>
    <t xml:space="preserve">the right Dispatcher receives the call without manual routing</t>
  </si>
  <si>
    <t xml:space="preserve">1. On Emergency creation, system calculates distance from emergency GPS to all Active facilities
2. Nearest facility selected → AssignedFacilityID set
3. Find Dispatcher_Profile where FacilityID matches AND IsOnDuty=TRUE
4. Emergency appears in that Dispatcher's live queue
5. If no on-duty dispatcher: mark emergency as UNASSIGNED, alert all dispatchers at that facility</t>
  </si>
  <si>
    <t xml:space="preserve">Distance calculation using Haversine formula</t>
  </si>
  <si>
    <t xml:space="preserve">US-016</t>
  </si>
  <si>
    <t xml:space="preserve">Citizen views their emergency history</t>
  </si>
  <si>
    <t xml:space="preserve">see a list of all emergencies I have ever reported</t>
  </si>
  <si>
    <t xml:space="preserve">I can track the status of past and current emergency reports</t>
  </si>
  <si>
    <t xml:space="preserve">1. List view: Emergency Type, Date, Status, Assigned Facility
2. Status badge colour-coded
3. Click to expand: see full details including dispatch info
4. Current active emergency shown at top with live status</t>
  </si>
  <si>
    <t xml:space="preserve">Dev4</t>
  </si>
  <si>
    <t xml:space="preserve">US-017</t>
  </si>
  <si>
    <t xml:space="preserve">Citizen cancels an emergency report</t>
  </si>
  <si>
    <t xml:space="preserve">cancel an emergency I just reported if it was a mistake</t>
  </si>
  <si>
    <t xml:space="preserve">we don't waste ambulance resources on false alarms</t>
  </si>
  <si>
    <t xml:space="preserve">1. Cancel only allowed if Status = REPORTED (not yet dispatched)
2. Citizen must provide a reason
3. Status → CANCELLED
4. If already DISPATCHED: show message that cancellation is not possible, contact dispatcher</t>
  </si>
  <si>
    <t xml:space="preserve">Cannot cancel after dispatch</t>
  </si>
  <si>
    <t xml:space="preserve">US-018</t>
  </si>
  <si>
    <t xml:space="preserve">EP-05</t>
  </si>
  <si>
    <t xml:space="preserve">Dispatcher views live emergency queue</t>
  </si>
  <si>
    <t xml:space="preserve">see all incoming emergencies assigned to my facility in real time</t>
  </si>
  <si>
    <t xml:space="preserve">I can respond to them immediately without missing any</t>
  </si>
  <si>
    <t xml:space="preserve">1. Live queue shows all emergencies where AssignedFacilityID = my facility
2. Sorted by ReportedAt (newest first)
3. Each card shows: Type, Victim name/type, Location, Time elapsed, Status
4. Unassigned emergencies highlighted in red
5. Queue auto-refreshes (WebSocket or polling every 10s)
6. Filter tabs: All / Reported / Dispatched / Responded</t>
  </si>
  <si>
    <t xml:space="preserve">Real-time is critical here</t>
  </si>
  <si>
    <t xml:space="preserve">US-019</t>
  </si>
  <si>
    <t xml:space="preserve">Dispatcher deploys ambulance to emergency</t>
  </si>
  <si>
    <t xml:space="preserve">select an available ambulance from my facility's fleet and deploy it to an emergency</t>
  </si>
  <si>
    <t xml:space="preserve">the victim gets help as fast as possible</t>
  </si>
  <si>
    <t xml:space="preserve">1. Dispatcher selects an emergency from the queue
2. Panel shows available ambulances (Status=Available) from this facility only
3. Dispatcher selects ambulance, adds optional notes, clicks Deploy
4. AmbulanceDispatch row created: DispatchedAt=now
5. Emergency Status → DISPATCHED
6. Ambulance Status → DISPATCHED
7. No other ambulance can be dispatched to the same emergency
8. Deployed emergency moves to Dispatched tab</t>
  </si>
  <si>
    <t xml:space="preserve">Block double-dispatch with UNIQUE constraint on EmergencyID</t>
  </si>
  <si>
    <t xml:space="preserve">US-020</t>
  </si>
  <si>
    <t xml:space="preserve">Dispatcher marks ambulance as arrived at scene</t>
  </si>
  <si>
    <t xml:space="preserve">mark that the ambulance has reached the emergency location</t>
  </si>
  <si>
    <t xml:space="preserve">we have an accurate timestamp of when help arrived</t>
  </si>
  <si>
    <t xml:space="preserve">1. Button 'Mark Arrived' on active dispatch card
2. AmbulanceDispatch.ArrivalAt = now
3. Emergency Status → RESPONDED
4. Confirmation shown to dispatcher</t>
  </si>
  <si>
    <t xml:space="preserve">US-021</t>
  </si>
  <si>
    <t xml:space="preserve">Dispatcher resolves and clears an emergency</t>
  </si>
  <si>
    <t xml:space="preserve">mark an emergency as fully resolved and clear the ambulance back to available</t>
  </si>
  <si>
    <t xml:space="preserve">the ambulance returns to the pool for the next emergency</t>
  </si>
  <si>
    <t xml:space="preserve">1. Button 'Resolve &amp; Clear' on responded dispatch card
2. Optional notes field before confirming
3. AmbulanceDispatch.ClearedAt = now
4. Emergency Status → RESOLVED
5. Ambulance Status → AVAILABLE
6. Emergency moves to closed/history list</t>
  </si>
  <si>
    <t xml:space="preserve">This frees the ambulance for next dispatch</t>
  </si>
  <si>
    <t xml:space="preserve">US-022</t>
  </si>
  <si>
    <t xml:space="preserve">Dispatcher views fleet availability panel</t>
  </si>
  <si>
    <t xml:space="preserve">see all ambulances at my facility and their real-time status</t>
  </si>
  <si>
    <t xml:space="preserve">I can quickly pick the best available unit when an emergency comes in</t>
  </si>
  <si>
    <t xml:space="preserve">1. Panel shows all ambulances for this Dispatcher's facility
2. Columns: Unit Number, Status (colour-coded badge)
3. Available count shown prominently
4. Dispatched units show which emergency they are on
5. Maintenance units clearly greyed out</t>
  </si>
  <si>
    <t xml:space="preserve">US-023</t>
  </si>
  <si>
    <t xml:space="preserve">Dispatcher views dispatch history</t>
  </si>
  <si>
    <t xml:space="preserve">see a log of all past dispatches handled by my facility</t>
  </si>
  <si>
    <t xml:space="preserve">I can review response times and past incidents</t>
  </si>
  <si>
    <t xml:space="preserve">1. Table: Emergency ID, Type, Victim, Ambulance, Dispatched At, Arrival At, Cleared At
2. Filter by date range and status
3. Search by Emergency ID or victim name
4. Calculated response time column (ArrivalAt - DispatchedAt)</t>
  </si>
  <si>
    <t xml:space="preserve">Sprint 4</t>
  </si>
  <si>
    <t xml:space="preserve">US-024</t>
  </si>
  <si>
    <t xml:space="preserve">EP-06</t>
  </si>
  <si>
    <t xml:space="preserve">HospitalAdmin admits a patient from emergency</t>
  </si>
  <si>
    <t xml:space="preserve">admit the victim of a resolved emergency as a patient in my facility</t>
  </si>
  <si>
    <t xml:space="preserve">the patient's hospital record is correctly linked to their emergency</t>
  </si>
  <si>
    <t xml:space="preserve">1. Admin opens Admit Patient
2. Links EmergencyID (optional search)
3. System pre-fills victim details from Emergency record
4. If VictimUserID set: UserID = VictimUserID
5. If only VictimName: PatientName = VictimName, UserID = NULL
6. Set AdmissionType = Emergency, AdmissionDate
7. Patient row created, Status = ADMITTED
8. Facility.AvailableBeds decremented by 1</t>
  </si>
  <si>
    <t xml:space="preserve">Key rule: admit the VICTIM, not the reporter</t>
  </si>
  <si>
    <t xml:space="preserve">US-025</t>
  </si>
  <si>
    <t xml:space="preserve">HospitalAdmin admits a walk-in or scheduled patient</t>
  </si>
  <si>
    <t xml:space="preserve">admit a patient who walks in or arrives for a scheduled appointment</t>
  </si>
  <si>
    <t xml:space="preserve">all patients are tracked in the system regardless of how they arrived</t>
  </si>
  <si>
    <t xml:space="preserve">1. Search for citizen by name or phone
2. If registered: link UserID
3. If not registered: enter PatientName, UserID = NULL
4. Set AdmissionType = WalkIn or Scheduled
5. EmergencyID = NULL
6. Patient row created, beds decremented</t>
  </si>
  <si>
    <t xml:space="preserve">US-026</t>
  </si>
  <si>
    <t xml:space="preserve">HospitalAdmin discharges a patient</t>
  </si>
  <si>
    <t xml:space="preserve">discharge a patient when their treatment is complete</t>
  </si>
  <si>
    <t xml:space="preserve">the bed is freed and the patient's record is properly closed</t>
  </si>
  <si>
    <t xml:space="preserve">1. Admin can only discharge if all Treatment records for this admission have Status=COMPLETED
2. If any treatment is ONGOING: show warning, cannot discharge
3. On confirm: DischargeDate = now, Patient Status → DISCHARGED
4. Facility.AvailableBeds incremented by 1</t>
  </si>
  <si>
    <t xml:space="preserve">Block discharge if any treatment is Ongoing</t>
  </si>
  <si>
    <t xml:space="preserve">US-027</t>
  </si>
  <si>
    <t xml:space="preserve">HospitalAdmin views all current patients</t>
  </si>
  <si>
    <t xml:space="preserve">see a list of all currently admitted patients</t>
  </si>
  <si>
    <t xml:space="preserve">I have full visibility over the ward</t>
  </si>
  <si>
    <t xml:space="preserve">1. Table: Patient Name, Admission Date, Type, Assigned Doctor, Status
2. Filter: All / Admitted / Undergoing Treatment / Ready for Discharge
3. Search by patient name
4. Click row to open full patient detail</t>
  </si>
  <si>
    <t xml:space="preserve">US-028</t>
  </si>
  <si>
    <t xml:space="preserve">Citizen views their own patient records</t>
  </si>
  <si>
    <t xml:space="preserve">see all my past and current hospital admissions</t>
  </si>
  <si>
    <t xml:space="preserve">I have a record of my medical history in CityCare</t>
  </si>
  <si>
    <t xml:space="preserve">1. List of all Patient records where UserID = my UserID
2. Each row: Facility, Admission Date, Discharge Date, Status
3. Click to expand: see treatment entries for that admission
4. Active admission shown at top</t>
  </si>
  <si>
    <t xml:space="preserve">US-029</t>
  </si>
  <si>
    <t xml:space="preserve">EP-07</t>
  </si>
  <si>
    <t xml:space="preserve">Doctor adds a treatment entry to an admitted patient</t>
  </si>
  <si>
    <t xml:space="preserve">HospitalAdmin (on behalf of Doctor)</t>
  </si>
  <si>
    <t xml:space="preserve">add a treatment record for an admitted patient</t>
  </si>
  <si>
    <t xml:space="preserve">all medical actions are documented against the patient's admission</t>
  </si>
  <si>
    <t xml:space="preserve">1. Select patient from admitted list
2. Select Doctor from Staff list (Role=Doctor, Status=Active)
3. Fill: Description (required), Medication (optional), Treatment Date, Follow-up Date (optional)
4. Treatment row created, Status = ONGOING
5. Patient Status → Undergoing Treatment if first treatment</t>
  </si>
  <si>
    <t xml:space="preserve">Doctor is Staff — not a login user in current scope</t>
  </si>
  <si>
    <t xml:space="preserve">US-030</t>
  </si>
  <si>
    <t xml:space="preserve">Mark a treatment as completed</t>
  </si>
  <si>
    <t xml:space="preserve">mark a treatment entry as Completed</t>
  </si>
  <si>
    <t xml:space="preserve">the system knows when all care has been given and the patient can be discharged</t>
  </si>
  <si>
    <t xml:space="preserve">1. Treatment Status → COMPLETED
2. System checks: are ALL treatments for this PatientID now COMPLETED?
3. If yes: flag patient as Ready for Discharge (visual indicator)
4. If no: continue
5. Completed treatments cannot be edited</t>
  </si>
  <si>
    <t xml:space="preserve">Triggers discharge eligibility check</t>
  </si>
  <si>
    <t xml:space="preserve">US-031</t>
  </si>
  <si>
    <t xml:space="preserve">Mark a treatment as Referred</t>
  </si>
  <si>
    <t xml:space="preserve">mark a treatment as Referred to another specialist</t>
  </si>
  <si>
    <t xml:space="preserve">we track that the patient needs further care from a different doctor</t>
  </si>
  <si>
    <t xml:space="preserve">1. Treatment Status → REFERRED
2. Add referral notes (required when referring)
3. Referred treatments count as needing action — do not trigger discharge flag
4. A new treatment entry can be added by the referred doctor</t>
  </si>
  <si>
    <t xml:space="preserve">US-032</t>
  </si>
  <si>
    <t xml:space="preserve">View full treatment history for a patient</t>
  </si>
  <si>
    <t xml:space="preserve">see all treatment entries for any patient admission</t>
  </si>
  <si>
    <t xml:space="preserve">I have a complete medical timeline for each patient</t>
  </si>
  <si>
    <t xml:space="preserve">1. Timeline view: sorted by TreatmentDate
2. Each entry shows: Doctor name, Description, Medication, Status, Follow-up date
3. Colour-coded status badges
4. Add new treatment button at top</t>
  </si>
  <si>
    <t xml:space="preserve">US-033</t>
  </si>
  <si>
    <t xml:space="preserve">EP-08</t>
  </si>
  <si>
    <t xml:space="preserve">Citizen portal — Dashboard</t>
  </si>
  <si>
    <t xml:space="preserve">see a clear dashboard after logging in</t>
  </si>
  <si>
    <t xml:space="preserve">I can quickly access the most important actions (report emergency, view records)</t>
  </si>
  <si>
    <t xml:space="preserve">1. Emergency Report button — prominent, red
2. Active admission card (if any)
3. Recent emergency reports (last 3)
4. Nearby facilities list
5. Quick stats: past emergencies count, active admissions</t>
  </si>
  <si>
    <t xml:space="preserve">US-034</t>
  </si>
  <si>
    <t xml:space="preserve">Citizen portal — Emergency Report form</t>
  </si>
  <si>
    <t xml:space="preserve">have a clean, fast emergency report form</t>
  </si>
  <si>
    <t xml:space="preserve">I can submit in under 30 seconds during a crisis</t>
  </si>
  <si>
    <t xml:space="preserve">1. Type selector (large buttons, not dropdown)
2. Victim toggle: Myself / Someone Else
3. GPS map with pin — editable
4. Description text area (optional)
5. Big red Submit button
6. Confirmation screen after submit</t>
  </si>
  <si>
    <t xml:space="preserve">Speed and simplicity are critical</t>
  </si>
  <si>
    <t xml:space="preserve">US-035</t>
  </si>
  <si>
    <t xml:space="preserve">Citizen portal — My Records page</t>
  </si>
  <si>
    <t xml:space="preserve">view all my admissions and treatments in one page</t>
  </si>
  <si>
    <t xml:space="preserve">I have a personal health history</t>
  </si>
  <si>
    <t xml:space="preserve">1. Tabs: Admissions | Treatments | Emergency History
2. Each tab shows relevant records in a clean list
3. Treatment details expandable per admission</t>
  </si>
  <si>
    <t xml:space="preserve">US-036</t>
  </si>
  <si>
    <t xml:space="preserve">Citizen portal — Find Facility page</t>
  </si>
  <si>
    <t xml:space="preserve">search for hospitals and clinics near me</t>
  </si>
  <si>
    <t xml:space="preserve">I know where to go for non-emergency care</t>
  </si>
  <si>
    <t xml:space="preserve">1. List of active facilities
2. Each card: Name, Type, Address, Available Beds, Status
3. Search by name or address
4. Filter by type (Hospital / Clinic)
5. Map view (optional, stretch goal)</t>
  </si>
  <si>
    <t xml:space="preserve">US-037</t>
  </si>
  <si>
    <t xml:space="preserve">EP-09</t>
  </si>
  <si>
    <t xml:space="preserve">Dispatcher console — Live queue UI</t>
  </si>
  <si>
    <t xml:space="preserve">see a live, auto-refreshing emergency queue</t>
  </si>
  <si>
    <t xml:space="preserve">I never miss an incoming emergency</t>
  </si>
  <si>
    <t xml:space="preserve">1. Emergency cards with colour-coded urgency (red=Reported, orange=Dispatched)
2. Type icon, victim info, elapsed time, GPS location
3. Quick action buttons per card: Assign Ambulance / Mark Arrived / Resolve
4. Auto-refresh every 10 seconds
5. New emergency plays audio alert</t>
  </si>
  <si>
    <t xml:space="preserve">Audio alert is critical for dispatcher</t>
  </si>
  <si>
    <t xml:space="preserve">US-038</t>
  </si>
  <si>
    <t xml:space="preserve">Dispatcher console — Deploy ambulance panel</t>
  </si>
  <si>
    <t xml:space="preserve">see a clear panel to assign an ambulance when I click an emergency</t>
  </si>
  <si>
    <t xml:space="preserve">I can act fast without navigating away from the queue</t>
  </si>
  <si>
    <t xml:space="preserve">1. Slide-in side panel (no page navigation)
2. Shows emergency details at top
3. Available ambulances listed with vehicle number
4. One-click deploy button
5. Notes field (optional)
6. Confirmation toast after deploy</t>
  </si>
  <si>
    <t xml:space="preserve">US-039</t>
  </si>
  <si>
    <t xml:space="preserve">Dispatcher console — Fleet status panel</t>
  </si>
  <si>
    <t xml:space="preserve">see my facility's ambulance fleet status at a glance</t>
  </si>
  <si>
    <t xml:space="preserve">I always know how many units I have available</t>
  </si>
  <si>
    <t xml:space="preserve">1. Always-visible panel on right side of console
2. Shows each ambulance: unit number, status badge
3. Available count shown prominently in green
4. Dispatched units link to their active emergency</t>
  </si>
  <si>
    <t xml:space="preserve">US-040</t>
  </si>
  <si>
    <t xml:space="preserve">EP-10</t>
  </si>
  <si>
    <t xml:space="preserve">Admin panel — Dashboard</t>
  </si>
  <si>
    <t xml:space="preserve">see a summary dashboard of my facility's current state</t>
  </si>
  <si>
    <t xml:space="preserve">I have full situational awareness at a glance</t>
  </si>
  <si>
    <t xml:space="preserve">1. Stats row: Available Beds, Active Patients, Ambulances Available, Staff on Duty
2. Recent admissions list (last 5)
3. Patients ready for discharge (flagged)</t>
  </si>
  <si>
    <t xml:space="preserve">US-041</t>
  </si>
  <si>
    <t xml:space="preserve">Admin panel — Admit &amp; Discharge patient UI</t>
  </si>
  <si>
    <t xml:space="preserve">have an easy Admit Patient form and a Discharge patient panel</t>
  </si>
  <si>
    <t xml:space="preserve">I can manage patient flow efficiently</t>
  </si>
  <si>
    <t xml:space="preserve">1. Admit form: citizen search, admission type, emergency link
2. Discharge panel: list of admitted patients with 'Discharge' button
3. Discharge blocked with tooltip if treatments not all completed</t>
  </si>
  <si>
    <t xml:space="preserve">US-042</t>
  </si>
  <si>
    <t xml:space="preserve">Admin panel — Staff management UI</t>
  </si>
  <si>
    <t xml:space="preserve">add, edit and filter staff members from a clean panel</t>
  </si>
  <si>
    <t xml:space="preserve">I always have an accurate roster</t>
  </si>
  <si>
    <t xml:space="preserve">1. Tabs: All / Doctors / Nurses
2. Add Staff modal form
3. Inline status toggle (Active / On Leave / Inactive)
4. Search by name</t>
  </si>
  <si>
    <t xml:space="preserve">US-043</t>
  </si>
  <si>
    <t xml:space="preserve">Admin panel — Ambulance fleet management UI</t>
  </si>
  <si>
    <t xml:space="preserve">add ambulances and change their status from a fleet panel</t>
  </si>
  <si>
    <t xml:space="preserve">I control which vehicles are available for dispatch</t>
  </si>
  <si>
    <t xml:space="preserve">1. Fleet table: unit number, model, status badge
2. Add Ambulance modal
3. Edit status: Available / Maintenance (Dispatched is system-set only)
4. Availability progress bar</t>
  </si>
  <si>
    <t xml:space="preserve">US-044</t>
  </si>
  <si>
    <t xml:space="preserve">Task</t>
  </si>
  <si>
    <t xml:space="preserve">QA — Auth &amp; routing tests</t>
  </si>
  <si>
    <t xml:space="preserve">QA Engineer</t>
  </si>
  <si>
    <t xml:space="preserve">verify all login flows and role-based routing work correctly</t>
  </si>
  <si>
    <t xml:space="preserve">no user can access another role's portal</t>
  </si>
  <si>
    <t xml:space="preserve">1. Test: Citizen login → Citizen Portal only
2. Test: Dispatcher login → Dispatch Console only
3. Test: HospitalAdmin login → Admin Panel only
4. Test: Wrong password shows error, no redirect
5. Test: Direct URL access blocked for wrong role
6. Test: JWT expiry forces re-login</t>
  </si>
  <si>
    <t xml:space="preserve">Dev6</t>
  </si>
  <si>
    <t xml:space="preserve">US-045</t>
  </si>
  <si>
    <t xml:space="preserve">QA — Emergency routing and citizen ≠ patient rule</t>
  </si>
  <si>
    <t xml:space="preserve">verify emergencies route to correct dispatcher and victim logic is enforced</t>
  </si>
  <si>
    <t xml:space="preserve">no emergency goes to the wrong facility and patient records are never created for reporters</t>
  </si>
  <si>
    <t xml:space="preserve">1. Test: Emergency GPS → correct nearest facility assigned
2. Test: VictimType=SELF → Patient.UserID = reporter's UserID
3. Test: VictimType=OTHER with registered user → Patient.UserID = victim's UserID, not reporter's
4. Test: VictimType=OTHER with stranger → Patient.UserID = NULL, PatientName set
5. Test: No on-duty dispatcher → UNASSIGNED alert fires</t>
  </si>
  <si>
    <t xml:space="preserve">Most business-critical QA story</t>
  </si>
  <si>
    <t xml:space="preserve">US-046</t>
  </si>
  <si>
    <t xml:space="preserve">QA — Dispatch operations and ambulance status</t>
  </si>
  <si>
    <t xml:space="preserve">verify ambulance status transitions are always correct</t>
  </si>
  <si>
    <t xml:space="preserve">no double-dispatch or incorrect status is ever shown</t>
  </si>
  <si>
    <t xml:space="preserve">1. Test: Deploy → Ambulance=DISPATCHED, Emergency=DISPATCHED
2. Test: Cannot deploy second ambulance to same emergency
3. Test: Cannot deploy Maintenance ambulance
4. Test: Resolve → Ambulance=AVAILABLE, Emergency=RESOLVED
5. Test: Cannot set Dispatched ambulance to Maintenance</t>
  </si>
  <si>
    <t xml:space="preserve">US-047</t>
  </si>
  <si>
    <t xml:space="preserve">QA — Patient admission and discharge rules</t>
  </si>
  <si>
    <t xml:space="preserve">verify bed counts and discharge rules are always enforced</t>
  </si>
  <si>
    <t xml:space="preserve">AvailableBeds never goes negative and patients are not discharged with ongoing treatments</t>
  </si>
  <si>
    <t xml:space="preserve">1. Test: Admit → AvailableBeds decrements by 1
2. Test: Discharge → AvailableBeds increments by 1
3. Test: Cannot discharge if any Treatment=ONGOING
4. Test: AvailableBeds cannot go below 0
5. Test: Unknown victim admitted with PatientName only (no UserID)</t>
  </si>
  <si>
    <t xml:space="preserve">US-048</t>
  </si>
  <si>
    <t xml:space="preserve">QA — End-to-end regression: full lifecycle test</t>
  </si>
  <si>
    <t xml:space="preserve">run a full end-to-end test from emergency report to patient discharge</t>
  </si>
  <si>
    <t xml:space="preserve">the complete system flow works without errors</t>
  </si>
  <si>
    <t xml:space="preserve">1. Citizen registers and logs in
2. Citizen reports emergency for someone else (stranger)
3. Dispatcher sees it, deploys ambulance
4. Dispatcher marks Arrived, then Resolved
5. Admin admits victim as patient (PatientName, no UserID)
6. Admin adds treatment via Doctor
7. Treatment marked Complete
8. Admin discharges patient
9. Verify: beds restored, ambulance=Available, emergency=Resolved</t>
  </si>
  <si>
    <t xml:space="preserve">Full happy path regression</t>
  </si>
  <si>
    <t xml:space="preserve">CityCare — Epics Overview</t>
  </si>
  <si>
    <t xml:space="preserve">Epic ID</t>
  </si>
  <si>
    <t xml:space="preserve">Epic Name</t>
  </si>
  <si>
    <t xml:space="preserve">Colour Tag</t>
  </si>
  <si>
    <t xml:space="preserve">Story Count</t>
  </si>
  <si>
    <t xml:space="preserve">Total Points</t>
  </si>
  <si>
    <t xml:space="preserve">Authentication &amp; User Management</t>
  </si>
  <si>
    <t xml:space="preserve">NAVY</t>
  </si>
  <si>
    <t xml:space="preserve">Facility &amp; Staff Management</t>
  </si>
  <si>
    <t xml:space="preserve">TEAL</t>
  </si>
  <si>
    <t xml:space="preserve">Ambulance Fleet Management</t>
  </si>
  <si>
    <t xml:space="preserve">RED</t>
  </si>
  <si>
    <t xml:space="preserve">Emergency Reporting</t>
  </si>
  <si>
    <t xml:space="preserve">Ambulance Dispatch Operations</t>
  </si>
  <si>
    <t xml:space="preserve">ORANGE</t>
  </si>
  <si>
    <t xml:space="preserve">Patient Admission &amp; Management</t>
  </si>
  <si>
    <t xml:space="preserve">BLUE</t>
  </si>
  <si>
    <t xml:space="preserve">Treatment Management</t>
  </si>
  <si>
    <t xml:space="preserve">GREEN</t>
  </si>
  <si>
    <t xml:space="preserve">Citizen Portal (Frontend)</t>
  </si>
  <si>
    <t xml:space="preserve">PURPLE</t>
  </si>
  <si>
    <t xml:space="preserve">Dispatcher Console (Frontend)</t>
  </si>
  <si>
    <t xml:space="preserve">Hospital Admin Panel (Frontend)</t>
  </si>
  <si>
    <t xml:space="preserve">TOTAL</t>
  </si>
  <si>
    <t xml:space="preserve">10 Epics</t>
  </si>
  <si>
    <t xml:space="preserve">CityCare — Sprint Plan (4 Sprints × 6 Team Members)</t>
  </si>
  <si>
    <t xml:space="preserve">Timeline</t>
  </si>
  <si>
    <t xml:space="preserve">Theme</t>
  </si>
  <si>
    <t xml:space="preserve">Focus / Goal</t>
  </si>
  <si>
    <t xml:space="preserve">Stories</t>
  </si>
  <si>
    <t xml:space="preserve">Week 1-2</t>
  </si>
  <si>
    <t xml:space="preserve">Foundation</t>
  </si>
  <si>
    <t xml:space="preserve">Auth, User table, single login, citizen registration, emergency report form (core API)</t>
  </si>
  <si>
    <t xml:space="preserve">Week 3-4</t>
  </si>
  <si>
    <t xml:space="preserve">Core Operations</t>
  </si>
  <si>
    <t xml:space="preserve">Emergency routing, Dispatcher queue, Deploy ambulance, Arrive/Resolve, Patient admission (emergency path), Treatment add, Dispatcher + Admin frontend shells</t>
  </si>
  <si>
    <t xml:space="preserve">Week 5-6</t>
  </si>
  <si>
    <t xml:space="preserve">Full Portals</t>
  </si>
  <si>
    <t xml:space="preserve">Citizen portal complete, Admin panel complete, Dispatcher console complete, Walk-in/Scheduled admission, Discharge, QA auth + routing</t>
  </si>
  <si>
    <t xml:space="preserve">Week 7-8</t>
  </si>
  <si>
    <t xml:space="preserve">Polish &amp; QA</t>
  </si>
  <si>
    <t xml:space="preserve">Referrals, history views, find facility, dispatch history, full regression testing, bug fixes</t>
  </si>
  <si>
    <t xml:space="preserve">Sprint Story Breakdown</t>
  </si>
  <si>
    <t xml:space="preserve">Points</t>
  </si>
  <si>
    <t xml:space="preserve">CityCare — Team Assignments (6 Members)</t>
  </si>
  <si>
    <t xml:space="preserve">Team Member</t>
  </si>
  <si>
    <t xml:space="preserve">Focus Area</t>
  </si>
  <si>
    <t xml:space="preserve">Assigned Stories</t>
  </si>
  <si>
    <t xml:space="preserve">Sprints</t>
  </si>
  <si>
    <t xml:space="preserve">Dev 1 — Backend (Auth &amp; User)</t>
  </si>
  <si>
    <t xml:space="preserve">Backend — Auth &amp; User</t>
  </si>
  <si>
    <t xml:space="preserve">US-001,US-002,US-003,US-004,US-005</t>
  </si>
  <si>
    <t xml:space="preserve">Sprint 1-2</t>
  </si>
  <si>
    <t xml:space="preserve">Dev 2 — Backend (Emergency &amp; Dispatch)</t>
  </si>
  <si>
    <t xml:space="preserve">Backend — Emergency &amp; Dispatch</t>
  </si>
  <si>
    <t xml:space="preserve">US-013,US-014,US-015,US-016,US-017,US-018,US-019,US-020,US-021,US-023</t>
  </si>
  <si>
    <t xml:space="preserve">Sprint 1-3</t>
  </si>
  <si>
    <t xml:space="preserve">Dev 3 — Backend (Patient &amp; Treatment)</t>
  </si>
  <si>
    <t xml:space="preserve">Backend — Patient &amp; Treatment</t>
  </si>
  <si>
    <t xml:space="preserve">US-006,US-007,US-008,US-010,US-011,US-024,US-025,US-026,US-029,US-030,US-031</t>
  </si>
  <si>
    <t xml:space="preserve">Sprint 2-4</t>
  </si>
  <si>
    <t xml:space="preserve">Dev 4 — Frontend (Citizen Portal)</t>
  </si>
  <si>
    <t xml:space="preserve">Frontend — Citizen Portal</t>
  </si>
  <si>
    <t xml:space="preserve">US-033,US-034,US-035,US-036</t>
  </si>
  <si>
    <t xml:space="preserve">Dev 5 — Frontend (Dispatcher + Admin)</t>
  </si>
  <si>
    <t xml:space="preserve">Frontend — Dispatcher + Admin</t>
  </si>
  <si>
    <t xml:space="preserve">US-009,US-012,US-022,US-027,US-032,US-037,US-038,US-039,US-040,US-041,US-042,US-043</t>
  </si>
  <si>
    <t xml:space="preserve">Dev 6 — QA &amp; Integration</t>
  </si>
  <si>
    <t xml:space="preserve">QA &amp; Integration</t>
  </si>
  <si>
    <t xml:space="preserve">US-044,US-045,US-046,US-047,US-048</t>
  </si>
  <si>
    <t xml:space="preserve">Per-Developer Story Detail</t>
  </si>
  <si>
    <t xml:space="preserve">EP-01 — Authentication &amp; User Management</t>
  </si>
  <si>
    <t xml:space="preserve">EP-04 — Emergency Reporting</t>
  </si>
  <si>
    <t xml:space="preserve">EP-05 — Ambulance Dispatch Operations</t>
  </si>
  <si>
    <t xml:space="preserve">EP-02 — Facility &amp; Staff Management</t>
  </si>
  <si>
    <t xml:space="preserve">EP-03 — Ambulance Fleet Management</t>
  </si>
  <si>
    <t xml:space="preserve">EP-06 — Patient Admission &amp; Management</t>
  </si>
  <si>
    <t xml:space="preserve">EP-07 — Treatment Management</t>
  </si>
  <si>
    <t xml:space="preserve">EP-08 — Citizen Portal (Frontend)</t>
  </si>
  <si>
    <t xml:space="preserve">EP-09 — Dispatcher Console (Frontend)</t>
  </si>
  <si>
    <t xml:space="preserve">EP-10 — Hospital Admin Panel (Frontend)</t>
  </si>
  <si>
    <t xml:space="preserve">CityCare — Project Summary Dashboard</t>
  </si>
  <si>
    <t xml:space="preserve">Total User Stories</t>
  </si>
  <si>
    <t xml:space="preserve">Total Story Points</t>
  </si>
  <si>
    <t xml:space="preserve">Total Epics</t>
  </si>
  <si>
    <t xml:space="preserve">Team Members</t>
  </si>
  <si>
    <t xml:space="preserve">Total Sprints</t>
  </si>
  <si>
    <t xml:space="preserve">Critical Stories</t>
  </si>
  <si>
    <t xml:space="preserve">10</t>
  </si>
  <si>
    <t xml:space="preserve">6</t>
  </si>
  <si>
    <t xml:space="preserve">4</t>
  </si>
  <si>
    <t xml:space="preserve">5</t>
  </si>
  <si>
    <t xml:space="preserve">Priority Breakdown</t>
  </si>
  <si>
    <t xml:space="preserve">Sprint Points</t>
  </si>
  <si>
    <t xml:space="preserve">Developer Load</t>
  </si>
  <si>
    <t xml:space="preserve">5 stories</t>
  </si>
  <si>
    <t xml:space="preserve">23 pts — 6 stories</t>
  </si>
  <si>
    <t xml:space="preserve">5 stories / 15 pts</t>
  </si>
  <si>
    <t xml:space="preserve">24 stories</t>
  </si>
  <si>
    <t xml:space="preserve">68 pts — 16 stories</t>
  </si>
  <si>
    <t xml:space="preserve">10 stories / 45 pts</t>
  </si>
  <si>
    <t xml:space="preserve">18 stories</t>
  </si>
  <si>
    <t xml:space="preserve">60 pts — 18 stories</t>
  </si>
  <si>
    <t xml:space="preserve">11 stories / 34 pts</t>
  </si>
  <si>
    <t xml:space="preserve">1 stories</t>
  </si>
  <si>
    <t xml:space="preserve">28 pts — 8 stories</t>
  </si>
  <si>
    <t xml:space="preserve">4 stories / 16 pts</t>
  </si>
  <si>
    <t xml:space="preserve">12 stories / 44 pts</t>
  </si>
  <si>
    <t xml:space="preserve">5 stories / 22 pts</t>
  </si>
</sst>
</file>

<file path=xl/styles.xml><?xml version="1.0" encoding="utf-8"?>
<styleSheet xmlns="http://schemas.openxmlformats.org/spreadsheetml/2006/main">
  <numFmts count="2">
    <numFmt numFmtId="164" formatCode="General"/>
    <numFmt numFmtId="165" formatCode="General"/>
  </numFmts>
  <fonts count="4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9"/>
      <color rgb="FF1A237E"/>
      <name val="Arial"/>
      <family val="0"/>
      <charset val="1"/>
    </font>
    <font>
      <b val="true"/>
      <sz val="9"/>
      <color rgb="FF283593"/>
      <name val="Arial"/>
      <family val="0"/>
      <charset val="1"/>
    </font>
    <font>
      <b val="true"/>
      <sz val="9"/>
      <color rgb="FFE65100"/>
      <name val="Arial"/>
      <family val="0"/>
      <charset val="1"/>
    </font>
    <font>
      <b val="true"/>
      <sz val="9"/>
      <color rgb="FF1A1A2E"/>
      <name val="Arial"/>
      <family val="0"/>
      <charset val="1"/>
    </font>
    <font>
      <sz val="9"/>
      <color rgb="FF1A1A2E"/>
      <name val="Arial"/>
      <family val="0"/>
      <charset val="1"/>
    </font>
    <font>
      <b val="true"/>
      <sz val="10"/>
      <color rgb="FF1A237E"/>
      <name val="Arial"/>
      <family val="0"/>
      <charset val="1"/>
    </font>
    <font>
      <b val="true"/>
      <sz val="9"/>
      <color rgb="FF4527A0"/>
      <name val="Arial"/>
      <family val="0"/>
      <charset val="1"/>
    </font>
    <font>
      <b val="true"/>
      <sz val="9"/>
      <color rgb="FF555555"/>
      <name val="Arial"/>
      <family val="0"/>
      <charset val="1"/>
    </font>
    <font>
      <b val="true"/>
      <sz val="9"/>
      <color rgb="FF2E7D32"/>
      <name val="Arial"/>
      <family val="0"/>
      <charset val="1"/>
    </font>
    <font>
      <b val="true"/>
      <sz val="9"/>
      <color rgb="FF00695C"/>
      <name val="Arial"/>
      <family val="0"/>
      <charset val="1"/>
    </font>
    <font>
      <b val="true"/>
      <sz val="9"/>
      <color rgb="FFC62828"/>
      <name val="Arial"/>
      <family val="0"/>
      <charset val="1"/>
    </font>
    <font>
      <b val="true"/>
      <sz val="9"/>
      <color rgb="FF1565C0"/>
      <name val="Arial"/>
      <family val="0"/>
      <charset val="1"/>
    </font>
    <font>
      <b val="true"/>
      <sz val="9"/>
      <color rgb="FF1B5E20"/>
      <name val="Arial"/>
      <family val="0"/>
      <charset val="1"/>
    </font>
    <font>
      <b val="true"/>
      <sz val="13"/>
      <color rgb="FFFFFFFF"/>
      <name val="Arial"/>
      <family val="0"/>
      <charset val="1"/>
    </font>
    <font>
      <b val="true"/>
      <sz val="10"/>
      <color rgb="FF1A1A2E"/>
      <name val="Arial"/>
      <family val="0"/>
      <charset val="1"/>
    </font>
    <font>
      <b val="true"/>
      <sz val="9"/>
      <color rgb="FFFFFFFF"/>
      <name val="Arial"/>
      <family val="0"/>
      <charset val="1"/>
    </font>
    <font>
      <b val="true"/>
      <sz val="10"/>
      <color rgb="FF1B5E20"/>
      <name val="Arial"/>
      <family val="0"/>
      <charset val="1"/>
    </font>
    <font>
      <b val="true"/>
      <sz val="10"/>
      <color rgb="FF00695C"/>
      <name val="Arial"/>
      <family val="0"/>
      <charset val="1"/>
    </font>
    <font>
      <b val="true"/>
      <sz val="10"/>
      <color rgb="FFC62828"/>
      <name val="Arial"/>
      <family val="0"/>
      <charset val="1"/>
    </font>
    <font>
      <b val="true"/>
      <sz val="10"/>
      <color rgb="FFE65100"/>
      <name val="Arial"/>
      <family val="0"/>
      <charset val="1"/>
    </font>
    <font>
      <b val="true"/>
      <sz val="10"/>
      <color rgb="FF1565C0"/>
      <name val="Arial"/>
      <family val="0"/>
      <charset val="1"/>
    </font>
    <font>
      <b val="true"/>
      <sz val="10"/>
      <color rgb="FF4527A0"/>
      <name val="Arial"/>
      <family val="0"/>
      <charset val="1"/>
    </font>
    <font>
      <b val="true"/>
      <sz val="11"/>
      <color rgb="FFFFFFFF"/>
      <name val="Arial"/>
      <family val="0"/>
      <charset val="1"/>
    </font>
    <font>
      <sz val="9"/>
      <color rgb="FF555555"/>
      <name val="Arial"/>
      <family val="0"/>
      <charset val="1"/>
    </font>
    <font>
      <b val="true"/>
      <sz val="11"/>
      <color rgb="FF1A237E"/>
      <name val="Arial"/>
      <family val="0"/>
      <charset val="1"/>
    </font>
    <font>
      <b val="true"/>
      <sz val="11"/>
      <color rgb="FF1B5E20"/>
      <name val="Arial"/>
      <family val="0"/>
      <charset val="1"/>
    </font>
    <font>
      <sz val="9"/>
      <color rgb="FF1A237E"/>
      <name val="Arial"/>
      <family val="0"/>
      <charset val="1"/>
    </font>
    <font>
      <sz val="9"/>
      <color rgb="FFC62828"/>
      <name val="Arial"/>
      <family val="0"/>
      <charset val="1"/>
    </font>
    <font>
      <sz val="9"/>
      <color rgb="FFE65100"/>
      <name val="Arial"/>
      <family val="0"/>
      <charset val="1"/>
    </font>
    <font>
      <sz val="9"/>
      <color rgb="FF00695C"/>
      <name val="Arial"/>
      <family val="0"/>
      <charset val="1"/>
    </font>
    <font>
      <sz val="9"/>
      <color rgb="FF1565C0"/>
      <name val="Arial"/>
      <family val="0"/>
      <charset val="1"/>
    </font>
    <font>
      <sz val="9"/>
      <color rgb="FF1B5E20"/>
      <name val="Arial"/>
      <family val="0"/>
      <charset val="1"/>
    </font>
    <font>
      <sz val="9"/>
      <color rgb="FF4527A0"/>
      <name val="Arial"/>
      <family val="0"/>
      <charset val="1"/>
    </font>
    <font>
      <b val="true"/>
      <sz val="20"/>
      <color rgb="FF1A237E"/>
      <name val="Arial"/>
      <family val="0"/>
      <charset val="1"/>
    </font>
    <font>
      <b val="true"/>
      <sz val="20"/>
      <color rgb="FF1B5E20"/>
      <name val="Arial"/>
      <family val="0"/>
      <charset val="1"/>
    </font>
    <font>
      <b val="true"/>
      <sz val="20"/>
      <color rgb="FF4527A0"/>
      <name val="Arial"/>
      <family val="0"/>
      <charset val="1"/>
    </font>
    <font>
      <b val="true"/>
      <sz val="20"/>
      <color rgb="FF00695C"/>
      <name val="Arial"/>
      <family val="0"/>
      <charset val="1"/>
    </font>
    <font>
      <b val="true"/>
      <sz val="20"/>
      <color rgb="FFE65100"/>
      <name val="Arial"/>
      <family val="0"/>
      <charset val="1"/>
    </font>
    <font>
      <b val="true"/>
      <sz val="20"/>
      <color rgb="FFC62828"/>
      <name val="Arial"/>
      <family val="0"/>
      <charset val="1"/>
    </font>
  </fonts>
  <fills count="19">
    <fill>
      <patternFill patternType="none"/>
    </fill>
    <fill>
      <patternFill patternType="gray125"/>
    </fill>
    <fill>
      <patternFill patternType="solid">
        <fgColor rgb="FF1A237E"/>
        <bgColor rgb="FF283593"/>
      </patternFill>
    </fill>
    <fill>
      <patternFill patternType="solid">
        <fgColor rgb="FF283593"/>
        <bgColor rgb="FF2E3A6E"/>
      </patternFill>
    </fill>
    <fill>
      <patternFill patternType="solid">
        <fgColor rgb="FFF7F9FC"/>
        <bgColor rgb="FFF4F5F7"/>
      </patternFill>
    </fill>
    <fill>
      <patternFill patternType="solid">
        <fgColor rgb="FFE8EAF6"/>
        <bgColor rgb="FFE3F2FD"/>
      </patternFill>
    </fill>
    <fill>
      <patternFill patternType="solid">
        <fgColor rgb="FFFFF3E0"/>
        <bgColor rgb="FFFFEBEE"/>
      </patternFill>
    </fill>
    <fill>
      <patternFill patternType="solid">
        <fgColor rgb="FFF4F5F7"/>
        <bgColor rgb="FFF7F9FC"/>
      </patternFill>
    </fill>
    <fill>
      <patternFill patternType="solid">
        <fgColor rgb="FFFFFFFF"/>
        <bgColor rgb="FFF7F9FC"/>
      </patternFill>
    </fill>
    <fill>
      <patternFill patternType="solid">
        <fgColor rgb="FFE8F5E9"/>
        <bgColor rgb="FFE3F2FD"/>
      </patternFill>
    </fill>
    <fill>
      <patternFill patternType="solid">
        <fgColor rgb="FFE3F2FD"/>
        <bgColor rgb="FFE8EAF6"/>
      </patternFill>
    </fill>
    <fill>
      <patternFill patternType="solid">
        <fgColor rgb="FFFFEBEE"/>
        <bgColor rgb="FFFFF3E0"/>
      </patternFill>
    </fill>
    <fill>
      <patternFill patternType="solid">
        <fgColor rgb="FF00695C"/>
        <bgColor rgb="FF008080"/>
      </patternFill>
    </fill>
    <fill>
      <patternFill patternType="solid">
        <fgColor rgb="FFC62828"/>
        <bgColor rgb="FF993366"/>
      </patternFill>
    </fill>
    <fill>
      <patternFill patternType="solid">
        <fgColor rgb="FFE65100"/>
        <bgColor rgb="FFC62828"/>
      </patternFill>
    </fill>
    <fill>
      <patternFill patternType="solid">
        <fgColor rgb="FF1565C0"/>
        <bgColor rgb="FF3366FF"/>
      </patternFill>
    </fill>
    <fill>
      <patternFill patternType="solid">
        <fgColor rgb="FF1B5E20"/>
        <bgColor rgb="FF00695C"/>
      </patternFill>
    </fill>
    <fill>
      <patternFill patternType="solid">
        <fgColor rgb="FF4527A0"/>
        <bgColor rgb="FF283593"/>
      </patternFill>
    </fill>
    <fill>
      <patternFill patternType="solid">
        <fgColor rgb="FF2E3A6E"/>
        <bgColor rgb="FF283593"/>
      </patternFill>
    </fill>
  </fills>
  <borders count="8">
    <border diagonalUp="false" diagonalDown="false">
      <left/>
      <right/>
      <top/>
      <bottom/>
      <diagonal/>
    </border>
    <border diagonalUp="false" diagonalDown="false">
      <left style="thin">
        <color rgb="FF1A237E"/>
      </left>
      <right style="thin">
        <color rgb="FF1A237E"/>
      </right>
      <top style="thin">
        <color rgb="FF1A237E"/>
      </top>
      <bottom style="thin">
        <color rgb="FF1A237E"/>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1B5E20"/>
      </left>
      <right style="thin">
        <color rgb="FF1B5E20"/>
      </right>
      <top style="thin">
        <color rgb="FF1B5E20"/>
      </top>
      <bottom style="thin">
        <color rgb="FF1B5E20"/>
      </bottom>
      <diagonal/>
    </border>
    <border diagonalUp="false" diagonalDown="false">
      <left style="thin">
        <color rgb="FF4527A0"/>
      </left>
      <right style="thin">
        <color rgb="FF4527A0"/>
      </right>
      <top style="thin">
        <color rgb="FF4527A0"/>
      </top>
      <bottom style="thin">
        <color rgb="FF4527A0"/>
      </bottom>
      <diagonal/>
    </border>
    <border diagonalUp="false" diagonalDown="false">
      <left style="thin">
        <color rgb="FF00695C"/>
      </left>
      <right style="thin">
        <color rgb="FF00695C"/>
      </right>
      <top style="thin">
        <color rgb="FF00695C"/>
      </top>
      <bottom style="thin">
        <color rgb="FF00695C"/>
      </bottom>
      <diagonal/>
    </border>
    <border diagonalUp="false" diagonalDown="false">
      <left style="thin">
        <color rgb="FFE65100"/>
      </left>
      <right style="thin">
        <color rgb="FFE65100"/>
      </right>
      <top style="thin">
        <color rgb="FFE65100"/>
      </top>
      <bottom style="thin">
        <color rgb="FFE65100"/>
      </bottom>
      <diagonal/>
    </border>
    <border diagonalUp="false" diagonalDown="false">
      <left style="thin">
        <color rgb="FFC62828"/>
      </left>
      <right style="thin">
        <color rgb="FFC62828"/>
      </right>
      <top style="thin">
        <color rgb="FFC62828"/>
      </top>
      <bottom style="thin">
        <color rgb="FFC6282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8" fillId="6" borderId="2"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left" vertical="top" textRotation="0" wrapText="true" indent="0" shrinkToFit="false"/>
      <protection locked="true" hidden="false"/>
    </xf>
    <xf numFmtId="164" fontId="10" fillId="4" borderId="2" xfId="0" applyFont="true" applyBorder="true" applyAlignment="true" applyProtection="false">
      <alignment horizontal="left" vertical="top" textRotation="0" wrapText="true" indent="0" shrinkToFit="false"/>
      <protection locked="true" hidden="false"/>
    </xf>
    <xf numFmtId="164" fontId="11" fillId="4" borderId="2"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left" vertical="top" textRotation="0" wrapText="true" indent="0" shrinkToFit="false"/>
      <protection locked="true" hidden="false"/>
    </xf>
    <xf numFmtId="164" fontId="13" fillId="7" borderId="2" xfId="0" applyFont="true" applyBorder="true" applyAlignment="true" applyProtection="false">
      <alignment horizontal="center" vertical="center" textRotation="0" wrapText="false" indent="0" shrinkToFit="false"/>
      <protection locked="true" hidden="false"/>
    </xf>
    <xf numFmtId="164" fontId="6" fillId="8" borderId="2" xfId="0" applyFont="true" applyBorder="true" applyAlignment="true" applyProtection="false">
      <alignment horizontal="left" vertical="top" textRotation="0" wrapText="true" indent="0" shrinkToFit="false"/>
      <protection locked="true" hidden="false"/>
    </xf>
    <xf numFmtId="164" fontId="9" fillId="8" borderId="2" xfId="0" applyFont="true" applyBorder="true" applyAlignment="true" applyProtection="false">
      <alignment horizontal="left" vertical="top" textRotation="0" wrapText="true" indent="0" shrinkToFit="false"/>
      <protection locked="true" hidden="false"/>
    </xf>
    <xf numFmtId="164" fontId="10" fillId="8" borderId="2" xfId="0" applyFont="true" applyBorder="true" applyAlignment="true" applyProtection="false">
      <alignment horizontal="left" vertical="top" textRotation="0" wrapText="true" indent="0" shrinkToFit="false"/>
      <protection locked="true" hidden="false"/>
    </xf>
    <xf numFmtId="164" fontId="11" fillId="8" borderId="2" xfId="0" applyFont="true" applyBorder="true" applyAlignment="true" applyProtection="false">
      <alignment horizontal="center" vertical="center" textRotation="0" wrapText="false" indent="0" shrinkToFit="false"/>
      <protection locked="true" hidden="false"/>
    </xf>
    <xf numFmtId="164" fontId="12" fillId="8" borderId="2" xfId="0" applyFont="true" applyBorder="true" applyAlignment="true" applyProtection="false">
      <alignment horizontal="left" vertical="top" textRotation="0" wrapText="true" indent="0" shrinkToFit="false"/>
      <protection locked="true" hidden="false"/>
    </xf>
    <xf numFmtId="164" fontId="14" fillId="9" borderId="2" xfId="0" applyFont="true" applyBorder="true" applyAlignment="true" applyProtection="false">
      <alignment horizontal="center" vertical="center" textRotation="0" wrapText="false" indent="0" shrinkToFit="false"/>
      <protection locked="true" hidden="false"/>
    </xf>
    <xf numFmtId="164" fontId="15" fillId="8" borderId="2" xfId="0" applyFont="true" applyBorder="true" applyAlignment="true" applyProtection="false">
      <alignment horizontal="left" vertical="top" textRotation="0" wrapText="true" indent="0" shrinkToFit="false"/>
      <protection locked="true" hidden="false"/>
    </xf>
    <xf numFmtId="164" fontId="15" fillId="4" borderId="2" xfId="0" applyFont="true" applyBorder="true" applyAlignment="true" applyProtection="false">
      <alignment horizontal="left" vertical="top" textRotation="0" wrapText="true" indent="0" shrinkToFit="false"/>
      <protection locked="true" hidden="false"/>
    </xf>
    <xf numFmtId="164" fontId="16" fillId="8" borderId="2" xfId="0" applyFont="true" applyBorder="true" applyAlignment="true" applyProtection="false">
      <alignment horizontal="left" vertical="top" textRotation="0" wrapText="true" indent="0" shrinkToFit="false"/>
      <protection locked="true" hidden="false"/>
    </xf>
    <xf numFmtId="164" fontId="16" fillId="4" borderId="2" xfId="0" applyFont="true" applyBorder="true" applyAlignment="true" applyProtection="false">
      <alignment horizontal="left" vertical="top" textRotation="0" wrapText="true" indent="0" shrinkToFit="false"/>
      <protection locked="true" hidden="false"/>
    </xf>
    <xf numFmtId="164" fontId="17" fillId="10" borderId="2" xfId="0" applyFont="true" applyBorder="true" applyAlignment="true" applyProtection="false">
      <alignment horizontal="center" vertical="center" textRotation="0" wrapText="false" indent="0" shrinkToFit="false"/>
      <protection locked="true" hidden="false"/>
    </xf>
    <xf numFmtId="164" fontId="16" fillId="11" borderId="2" xfId="0" applyFont="true" applyBorder="true" applyAlignment="true" applyProtection="false">
      <alignment horizontal="center" vertical="center" textRotation="0" wrapText="false" indent="0" shrinkToFit="false"/>
      <protection locked="true" hidden="false"/>
    </xf>
    <xf numFmtId="164" fontId="8" fillId="8" borderId="2" xfId="0" applyFont="true" applyBorder="true" applyAlignment="true" applyProtection="false">
      <alignment horizontal="left" vertical="top" textRotation="0" wrapText="true" indent="0" shrinkToFit="false"/>
      <protection locked="true" hidden="false"/>
    </xf>
    <xf numFmtId="164" fontId="8" fillId="4" borderId="2" xfId="0" applyFont="true" applyBorder="true" applyAlignment="true" applyProtection="false">
      <alignment horizontal="left" vertical="top" textRotation="0" wrapText="true" indent="0" shrinkToFit="false"/>
      <protection locked="true" hidden="false"/>
    </xf>
    <xf numFmtId="164" fontId="17" fillId="8" borderId="2" xfId="0" applyFont="true" applyBorder="true" applyAlignment="true" applyProtection="false">
      <alignment horizontal="left" vertical="top" textRotation="0" wrapText="true" indent="0" shrinkToFit="false"/>
      <protection locked="true" hidden="false"/>
    </xf>
    <xf numFmtId="164" fontId="17" fillId="4" borderId="2" xfId="0" applyFont="true" applyBorder="true" applyAlignment="true" applyProtection="false">
      <alignment horizontal="left" vertical="top" textRotation="0" wrapText="true" indent="0" shrinkToFit="false"/>
      <protection locked="true" hidden="false"/>
    </xf>
    <xf numFmtId="164" fontId="18" fillId="4" borderId="2" xfId="0" applyFont="true" applyBorder="true" applyAlignment="true" applyProtection="false">
      <alignment horizontal="left" vertical="top" textRotation="0" wrapText="true" indent="0" shrinkToFit="false"/>
      <protection locked="true" hidden="false"/>
    </xf>
    <xf numFmtId="164" fontId="18" fillId="8" borderId="2" xfId="0" applyFont="true" applyBorder="true" applyAlignment="true" applyProtection="false">
      <alignment horizontal="left" vertical="top" textRotation="0" wrapText="true" indent="0" shrinkToFit="false"/>
      <protection locked="true" hidden="false"/>
    </xf>
    <xf numFmtId="164" fontId="18" fillId="9" borderId="2" xfId="0" applyFont="true" applyBorder="true" applyAlignment="true" applyProtection="false">
      <alignment horizontal="center" vertical="center" textRotation="0" wrapText="false" indent="0" shrinkToFit="false"/>
      <protection locked="true" hidden="false"/>
    </xf>
    <xf numFmtId="164" fontId="19" fillId="2" borderId="0"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false" applyProtection="false">
      <alignment horizontal="general" vertical="bottom" textRotation="0" wrapText="false" indent="0" shrinkToFit="false"/>
      <protection locked="true" hidden="false"/>
    </xf>
    <xf numFmtId="164" fontId="20" fillId="4" borderId="2" xfId="0" applyFont="true" applyBorder="true" applyAlignment="false" applyProtection="false">
      <alignment horizontal="general" vertical="bottom" textRotation="0" wrapText="false" indent="0" shrinkToFit="false"/>
      <protection locked="true" hidden="false"/>
    </xf>
    <xf numFmtId="164" fontId="21" fillId="2" borderId="2" xfId="0" applyFont="true" applyBorder="true" applyAlignment="true" applyProtection="false">
      <alignment horizontal="center" vertical="center" textRotation="0" wrapText="false" indent="0" shrinkToFit="false"/>
      <protection locked="true" hidden="false"/>
    </xf>
    <xf numFmtId="164" fontId="22" fillId="4" borderId="2" xfId="0" applyFont="true" applyBorder="true" applyAlignment="true" applyProtection="false">
      <alignment horizontal="center" vertical="center" textRotation="0" wrapText="false" indent="0" shrinkToFit="false"/>
      <protection locked="true" hidden="false"/>
    </xf>
    <xf numFmtId="164" fontId="23" fillId="8" borderId="2" xfId="0" applyFont="true" applyBorder="true" applyAlignment="false" applyProtection="false">
      <alignment horizontal="general" vertical="bottom" textRotation="0" wrapText="false" indent="0" shrinkToFit="false"/>
      <protection locked="true" hidden="false"/>
    </xf>
    <xf numFmtId="164" fontId="20" fillId="8" borderId="2" xfId="0" applyFont="true" applyBorder="true" applyAlignment="false" applyProtection="false">
      <alignment horizontal="general" vertical="bottom" textRotation="0" wrapText="false" indent="0" shrinkToFit="false"/>
      <protection locked="true" hidden="false"/>
    </xf>
    <xf numFmtId="164" fontId="21" fillId="12" borderId="2" xfId="0" applyFont="true" applyBorder="true" applyAlignment="true" applyProtection="false">
      <alignment horizontal="center" vertical="center" textRotation="0" wrapText="false" indent="0" shrinkToFit="false"/>
      <protection locked="true" hidden="false"/>
    </xf>
    <xf numFmtId="164" fontId="22" fillId="8" borderId="2" xfId="0" applyFont="true" applyBorder="true" applyAlignment="true" applyProtection="false">
      <alignment horizontal="center" vertical="center" textRotation="0" wrapText="false" indent="0" shrinkToFit="false"/>
      <protection locked="true" hidden="false"/>
    </xf>
    <xf numFmtId="164" fontId="24" fillId="4" borderId="2" xfId="0" applyFont="true" applyBorder="true" applyAlignment="false" applyProtection="false">
      <alignment horizontal="general" vertical="bottom" textRotation="0" wrapText="false" indent="0" shrinkToFit="false"/>
      <protection locked="true" hidden="false"/>
    </xf>
    <xf numFmtId="164" fontId="21" fillId="13" borderId="2" xfId="0" applyFont="true" applyBorder="true" applyAlignment="true" applyProtection="false">
      <alignment horizontal="center" vertical="center" textRotation="0" wrapText="false" indent="0" shrinkToFit="false"/>
      <protection locked="true" hidden="false"/>
    </xf>
    <xf numFmtId="164" fontId="24" fillId="8" borderId="2" xfId="0" applyFont="true" applyBorder="true" applyAlignment="false" applyProtection="false">
      <alignment horizontal="general" vertical="bottom" textRotation="0" wrapText="false" indent="0" shrinkToFit="false"/>
      <protection locked="true" hidden="false"/>
    </xf>
    <xf numFmtId="164" fontId="25" fillId="4" borderId="2" xfId="0" applyFont="true" applyBorder="true" applyAlignment="false" applyProtection="false">
      <alignment horizontal="general" vertical="bottom" textRotation="0" wrapText="false" indent="0" shrinkToFit="false"/>
      <protection locked="true" hidden="false"/>
    </xf>
    <xf numFmtId="164" fontId="21" fillId="14" borderId="2" xfId="0" applyFont="true" applyBorder="true" applyAlignment="true" applyProtection="false">
      <alignment horizontal="center" vertical="center" textRotation="0" wrapText="false" indent="0" shrinkToFit="false"/>
      <protection locked="true" hidden="false"/>
    </xf>
    <xf numFmtId="164" fontId="26" fillId="8" borderId="2" xfId="0" applyFont="true" applyBorder="true" applyAlignment="false" applyProtection="false">
      <alignment horizontal="general" vertical="bottom" textRotation="0" wrapText="false" indent="0" shrinkToFit="false"/>
      <protection locked="true" hidden="false"/>
    </xf>
    <xf numFmtId="164" fontId="21" fillId="15" borderId="2" xfId="0" applyFont="true" applyBorder="true" applyAlignment="true" applyProtection="false">
      <alignment horizontal="center" vertical="center" textRotation="0" wrapText="false" indent="0" shrinkToFit="false"/>
      <protection locked="true" hidden="false"/>
    </xf>
    <xf numFmtId="164" fontId="22" fillId="4" borderId="2" xfId="0" applyFont="true" applyBorder="true" applyAlignment="false" applyProtection="false">
      <alignment horizontal="general" vertical="bottom" textRotation="0" wrapText="false" indent="0" shrinkToFit="false"/>
      <protection locked="true" hidden="false"/>
    </xf>
    <xf numFmtId="164" fontId="21" fillId="16" borderId="2" xfId="0" applyFont="true" applyBorder="true" applyAlignment="true" applyProtection="false">
      <alignment horizontal="center" vertical="center" textRotation="0" wrapText="false" indent="0" shrinkToFit="false"/>
      <protection locked="true" hidden="false"/>
    </xf>
    <xf numFmtId="164" fontId="27" fillId="8" borderId="2" xfId="0" applyFont="true" applyBorder="true" applyAlignment="false" applyProtection="false">
      <alignment horizontal="general" vertical="bottom" textRotation="0" wrapText="false" indent="0" shrinkToFit="false"/>
      <protection locked="true" hidden="false"/>
    </xf>
    <xf numFmtId="164" fontId="21" fillId="17" borderId="2"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5" fillId="2" borderId="0" xfId="0" applyFont="true" applyBorder="false" applyAlignment="true" applyProtection="false">
      <alignment horizontal="center" vertical="center" textRotation="0" wrapText="false" indent="0" shrinkToFit="false"/>
      <protection locked="true" hidden="false"/>
    </xf>
    <xf numFmtId="164" fontId="28" fillId="2" borderId="2" xfId="0" applyFont="true" applyBorder="true" applyAlignment="true" applyProtection="false">
      <alignment horizontal="center" vertical="center" textRotation="0" wrapText="false" indent="0" shrinkToFit="false"/>
      <protection locked="true" hidden="false"/>
    </xf>
    <xf numFmtId="164" fontId="29" fillId="4" borderId="2" xfId="0" applyFont="true" applyBorder="true" applyAlignment="false" applyProtection="false">
      <alignment horizontal="general" vertical="bottom" textRotation="0" wrapText="false" indent="0" shrinkToFit="false"/>
      <protection locked="true" hidden="false"/>
    </xf>
    <xf numFmtId="164" fontId="30" fillId="4" borderId="2" xfId="0" applyFont="true" applyBorder="true" applyAlignment="true" applyProtection="false">
      <alignment horizontal="center" vertical="center" textRotation="0" wrapText="false" indent="0" shrinkToFit="false"/>
      <protection locked="true" hidden="false"/>
    </xf>
    <xf numFmtId="164" fontId="31" fillId="4" borderId="2" xfId="0" applyFont="true" applyBorder="true" applyAlignment="true" applyProtection="false">
      <alignment horizontal="center" vertical="center" textRotation="0" wrapText="false" indent="0" shrinkToFit="false"/>
      <protection locked="true" hidden="false"/>
    </xf>
    <xf numFmtId="164" fontId="28" fillId="15" borderId="2" xfId="0" applyFont="true" applyBorder="true" applyAlignment="true" applyProtection="false">
      <alignment horizontal="center" vertical="center" textRotation="0" wrapText="false" indent="0" shrinkToFit="false"/>
      <protection locked="true" hidden="false"/>
    </xf>
    <xf numFmtId="164" fontId="29" fillId="8" borderId="2" xfId="0" applyFont="true" applyBorder="true" applyAlignment="false" applyProtection="false">
      <alignment horizontal="general" vertical="bottom" textRotation="0" wrapText="false" indent="0" shrinkToFit="false"/>
      <protection locked="true" hidden="false"/>
    </xf>
    <xf numFmtId="164" fontId="30" fillId="8" borderId="2" xfId="0" applyFont="true" applyBorder="true" applyAlignment="true" applyProtection="false">
      <alignment horizontal="center" vertical="center" textRotation="0" wrapText="false" indent="0" shrinkToFit="false"/>
      <protection locked="true" hidden="false"/>
    </xf>
    <xf numFmtId="164" fontId="31" fillId="8" borderId="2" xfId="0" applyFont="true" applyBorder="true" applyAlignment="true" applyProtection="false">
      <alignment horizontal="center" vertical="center" textRotation="0" wrapText="false" indent="0" shrinkToFit="false"/>
      <protection locked="true" hidden="false"/>
    </xf>
    <xf numFmtId="164" fontId="28" fillId="16" borderId="2" xfId="0" applyFont="true" applyBorder="true" applyAlignment="true" applyProtection="false">
      <alignment horizontal="center" vertical="center" textRotation="0" wrapText="false" indent="0" shrinkToFit="false"/>
      <protection locked="true" hidden="false"/>
    </xf>
    <xf numFmtId="164" fontId="28" fillId="14" borderId="2" xfId="0" applyFont="true" applyBorder="true" applyAlignment="true" applyProtection="false">
      <alignment horizontal="center" vertical="center" textRotation="0" wrapText="false" indent="0" shrinkToFit="false"/>
      <protection locked="true" hidden="false"/>
    </xf>
    <xf numFmtId="164" fontId="25" fillId="8" borderId="2" xfId="0" applyFont="true" applyBorder="true" applyAlignment="false" applyProtection="false">
      <alignment horizontal="general" vertical="bottom" textRotation="0" wrapText="false" indent="0" shrinkToFit="false"/>
      <protection locked="true" hidden="false"/>
    </xf>
    <xf numFmtId="164" fontId="28" fillId="3" borderId="0" xfId="0" applyFont="true" applyBorder="true" applyAlignment="true" applyProtection="false">
      <alignment horizontal="center" vertical="center" textRotation="0" wrapText="true" indent="0" shrinkToFit="false"/>
      <protection locked="true" hidden="false"/>
    </xf>
    <xf numFmtId="164" fontId="21" fillId="18" borderId="1"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false" applyProtection="false">
      <alignment horizontal="general" vertical="bottom" textRotation="0" wrapText="false" indent="0" shrinkToFit="false"/>
      <protection locked="true" hidden="false"/>
    </xf>
    <xf numFmtId="164" fontId="10" fillId="4" borderId="2" xfId="0" applyFont="true" applyBorder="true" applyAlignment="false" applyProtection="false">
      <alignment horizontal="general" vertical="bottom" textRotation="0" wrapText="false" indent="0" shrinkToFit="false"/>
      <protection locked="true" hidden="false"/>
    </xf>
    <xf numFmtId="164" fontId="12" fillId="4" borderId="2" xfId="0" applyFont="true" applyBorder="true" applyAlignment="false" applyProtection="false">
      <alignment horizontal="general" vertical="bottom" textRotation="0" wrapText="false" indent="0" shrinkToFit="false"/>
      <protection locked="true" hidden="false"/>
    </xf>
    <xf numFmtId="164" fontId="18" fillId="4"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6" fillId="8" borderId="2" xfId="0" applyFont="true" applyBorder="true" applyAlignment="false" applyProtection="false">
      <alignment horizontal="general" vertical="bottom" textRotation="0" wrapText="false" indent="0" shrinkToFit="false"/>
      <protection locked="true" hidden="false"/>
    </xf>
    <xf numFmtId="164" fontId="10" fillId="8" borderId="2" xfId="0" applyFont="true" applyBorder="true" applyAlignment="false" applyProtection="false">
      <alignment horizontal="general" vertical="bottom" textRotation="0" wrapText="false" indent="0" shrinkToFit="false"/>
      <protection locked="true" hidden="false"/>
    </xf>
    <xf numFmtId="164" fontId="12" fillId="8" borderId="2" xfId="0" applyFont="true" applyBorder="true" applyAlignment="false" applyProtection="false">
      <alignment horizontal="general" vertical="bottom" textRotation="0" wrapText="false" indent="0" shrinkToFit="false"/>
      <protection locked="true" hidden="false"/>
    </xf>
    <xf numFmtId="164" fontId="18" fillId="8" borderId="2" xfId="0" applyFont="true" applyBorder="true" applyAlignment="true" applyProtection="false">
      <alignment horizontal="center" vertical="center" textRotation="0" wrapText="false" indent="0" shrinkToFit="false"/>
      <protection locked="true" hidden="false"/>
    </xf>
    <xf numFmtId="164" fontId="6" fillId="8" borderId="2" xfId="0" applyFont="true" applyBorder="true" applyAlignment="true" applyProtection="false">
      <alignment horizontal="center" vertical="center" textRotation="0" wrapText="false" indent="0" shrinkToFit="false"/>
      <protection locked="true" hidden="false"/>
    </xf>
    <xf numFmtId="164" fontId="17" fillId="4" borderId="2" xfId="0" applyFont="true" applyBorder="true" applyAlignment="true" applyProtection="false">
      <alignment horizontal="center" vertical="center" textRotation="0" wrapText="false" indent="0" shrinkToFit="false"/>
      <protection locked="true" hidden="false"/>
    </xf>
    <xf numFmtId="164" fontId="17" fillId="8" borderId="2" xfId="0" applyFont="true" applyBorder="true" applyAlignment="true" applyProtection="false">
      <alignment horizontal="center" vertical="center" textRotation="0" wrapText="false" indent="0"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8" fillId="8" borderId="2"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4" fontId="5" fillId="16" borderId="2" xfId="0" applyFont="true" applyBorder="true" applyAlignment="true" applyProtection="false">
      <alignment horizontal="center" vertical="center" textRotation="0" wrapText="true" indent="0" shrinkToFit="false"/>
      <protection locked="true" hidden="false"/>
    </xf>
    <xf numFmtId="164" fontId="22" fillId="8" borderId="2" xfId="0" applyFont="true" applyBorder="true" applyAlignment="false" applyProtection="false">
      <alignment horizontal="general" vertical="bottom" textRotation="0" wrapText="false" indent="0" shrinkToFit="false"/>
      <protection locked="true" hidden="false"/>
    </xf>
    <xf numFmtId="164" fontId="10" fillId="8" borderId="2" xfId="0" applyFont="true" applyBorder="true" applyAlignment="true" applyProtection="false">
      <alignment horizontal="center" vertical="center" textRotation="0" wrapText="false" indent="0" shrinkToFit="false"/>
      <protection locked="true" hidden="false"/>
    </xf>
    <xf numFmtId="164" fontId="5" fillId="13" borderId="2" xfId="0" applyFont="true" applyBorder="true" applyAlignment="true" applyProtection="false">
      <alignment horizontal="center" vertical="center" textRotation="0" wrapText="true" indent="0" shrinkToFit="false"/>
      <protection locked="true" hidden="false"/>
    </xf>
    <xf numFmtId="164" fontId="5" fillId="17" borderId="2" xfId="0" applyFont="true" applyBorder="true" applyAlignment="true" applyProtection="false">
      <alignment horizontal="center" vertical="center" textRotation="0" wrapText="true" indent="0" shrinkToFit="false"/>
      <protection locked="true" hidden="false"/>
    </xf>
    <xf numFmtId="164" fontId="5" fillId="14" borderId="2" xfId="0" applyFont="true" applyBorder="true" applyAlignment="true" applyProtection="false">
      <alignment horizontal="center" vertical="center" textRotation="0" wrapText="true" indent="0" shrinkToFit="false"/>
      <protection locked="true" hidden="false"/>
    </xf>
    <xf numFmtId="164" fontId="5" fillId="12" borderId="2" xfId="0" applyFont="true" applyBorder="true" applyAlignment="true" applyProtection="false">
      <alignment horizontal="center" vertical="center" textRotation="0" wrapText="true" indent="0" shrinkToFit="false"/>
      <protection locked="true" hidden="false"/>
    </xf>
    <xf numFmtId="164" fontId="32" fillId="4" borderId="2" xfId="0" applyFont="true" applyBorder="true" applyAlignment="false" applyProtection="false">
      <alignment horizontal="general" vertical="bottom" textRotation="0" wrapText="false" indent="0" shrinkToFit="false"/>
      <protection locked="true" hidden="false"/>
    </xf>
    <xf numFmtId="164" fontId="32" fillId="8" borderId="2" xfId="0" applyFont="true" applyBorder="true" applyAlignment="false" applyProtection="false">
      <alignment horizontal="general" vertical="bottom" textRotation="0" wrapText="false" indent="0" shrinkToFit="false"/>
      <protection locked="true" hidden="false"/>
    </xf>
    <xf numFmtId="164" fontId="18" fillId="4" borderId="2" xfId="0" applyFont="true" applyBorder="true" applyAlignment="false" applyProtection="false">
      <alignment horizontal="general" vertical="bottom" textRotation="0" wrapText="false" indent="0" shrinkToFit="false"/>
      <protection locked="true" hidden="false"/>
    </xf>
    <xf numFmtId="164" fontId="33" fillId="8" borderId="2" xfId="0" applyFont="true" applyBorder="true" applyAlignment="false" applyProtection="false">
      <alignment horizontal="general" vertical="bottom" textRotation="0" wrapText="false" indent="0" shrinkToFit="false"/>
      <protection locked="true" hidden="false"/>
    </xf>
    <xf numFmtId="164" fontId="18" fillId="8" borderId="2" xfId="0" applyFont="true" applyBorder="true" applyAlignment="false" applyProtection="false">
      <alignment horizontal="general" vertical="bottom" textRotation="0" wrapText="false" indent="0" shrinkToFit="false"/>
      <protection locked="true" hidden="false"/>
    </xf>
    <xf numFmtId="164" fontId="33" fillId="4" borderId="2" xfId="0" applyFont="true" applyBorder="true" applyAlignment="false" applyProtection="false">
      <alignment horizontal="general" vertical="bottom" textRotation="0" wrapText="false" indent="0" shrinkToFit="false"/>
      <protection locked="true" hidden="false"/>
    </xf>
    <xf numFmtId="164" fontId="34" fillId="8" borderId="2" xfId="0" applyFont="true" applyBorder="true" applyAlignment="false" applyProtection="false">
      <alignment horizontal="general" vertical="bottom" textRotation="0" wrapText="false" indent="0" shrinkToFit="false"/>
      <protection locked="true" hidden="false"/>
    </xf>
    <xf numFmtId="164" fontId="34" fillId="4" borderId="2" xfId="0" applyFont="true" applyBorder="true" applyAlignment="false" applyProtection="false">
      <alignment horizontal="general" vertical="bottom" textRotation="0" wrapText="false" indent="0" shrinkToFit="false"/>
      <protection locked="true" hidden="false"/>
    </xf>
    <xf numFmtId="164" fontId="35" fillId="8" borderId="2" xfId="0" applyFont="true" applyBorder="true" applyAlignment="false" applyProtection="false">
      <alignment horizontal="general" vertical="bottom" textRotation="0" wrapText="false" indent="0" shrinkToFit="false"/>
      <protection locked="true" hidden="false"/>
    </xf>
    <xf numFmtId="164" fontId="16" fillId="8" borderId="2" xfId="0" applyFont="true" applyBorder="true" applyAlignment="false" applyProtection="false">
      <alignment horizontal="general" vertical="bottom" textRotation="0" wrapText="false" indent="0" shrinkToFit="false"/>
      <protection locked="true" hidden="false"/>
    </xf>
    <xf numFmtId="164" fontId="35" fillId="4" borderId="2" xfId="0" applyFont="true" applyBorder="true" applyAlignment="false" applyProtection="false">
      <alignment horizontal="general" vertical="bottom" textRotation="0" wrapText="false" indent="0" shrinkToFit="false"/>
      <protection locked="true" hidden="false"/>
    </xf>
    <xf numFmtId="164" fontId="16" fillId="4" borderId="2" xfId="0" applyFont="true" applyBorder="true" applyAlignment="false" applyProtection="false">
      <alignment horizontal="general" vertical="bottom" textRotation="0" wrapText="false" indent="0" shrinkToFit="false"/>
      <protection locked="true" hidden="false"/>
    </xf>
    <xf numFmtId="164" fontId="36" fillId="4" borderId="2" xfId="0" applyFont="true" applyBorder="true" applyAlignment="false" applyProtection="false">
      <alignment horizontal="general" vertical="bottom" textRotation="0" wrapText="false" indent="0" shrinkToFit="false"/>
      <protection locked="true" hidden="false"/>
    </xf>
    <xf numFmtId="164" fontId="36" fillId="8" borderId="2" xfId="0" applyFont="true" applyBorder="true" applyAlignment="false" applyProtection="false">
      <alignment horizontal="general" vertical="bottom" textRotation="0" wrapText="false" indent="0" shrinkToFit="false"/>
      <protection locked="true" hidden="false"/>
    </xf>
    <xf numFmtId="164" fontId="37" fillId="8" borderId="2" xfId="0" applyFont="true" applyBorder="true" applyAlignment="false" applyProtection="false">
      <alignment horizontal="general" vertical="bottom" textRotation="0" wrapText="false" indent="0" shrinkToFit="false"/>
      <protection locked="true" hidden="false"/>
    </xf>
    <xf numFmtId="164" fontId="37" fillId="4" borderId="2" xfId="0" applyFont="true" applyBorder="true" applyAlignment="false" applyProtection="false">
      <alignment horizontal="general" vertical="bottom" textRotation="0" wrapText="false" indent="0" shrinkToFit="false"/>
      <protection locked="true" hidden="false"/>
    </xf>
    <xf numFmtId="164" fontId="38" fillId="4" borderId="2" xfId="0" applyFont="true" applyBorder="true" applyAlignment="false" applyProtection="false">
      <alignment horizontal="general" vertical="bottom" textRotation="0" wrapText="false" indent="0" shrinkToFit="false"/>
      <protection locked="true" hidden="false"/>
    </xf>
    <xf numFmtId="164" fontId="38" fillId="8" borderId="2" xfId="0" applyFont="tru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false" applyProtection="false">
      <alignment horizontal="general" vertical="bottom" textRotation="0" wrapText="false" indent="0" shrinkToFit="false"/>
      <protection locked="true" hidden="false"/>
    </xf>
    <xf numFmtId="164" fontId="8" fillId="8" borderId="2" xfId="0" applyFont="true" applyBorder="true" applyAlignment="false" applyProtection="false">
      <alignment horizontal="general" vertical="bottom" textRotation="0" wrapText="false" indent="0" shrinkToFit="false"/>
      <protection locked="true" hidden="false"/>
    </xf>
    <xf numFmtId="164" fontId="15" fillId="8" borderId="2" xfId="0" applyFont="true" applyBorder="true" applyAlignment="false" applyProtection="false">
      <alignment horizontal="general" vertical="bottom" textRotation="0" wrapText="false" indent="0" shrinkToFit="false"/>
      <protection locked="true" hidden="false"/>
    </xf>
    <xf numFmtId="164" fontId="15" fillId="4" borderId="2" xfId="0" applyFont="true" applyBorder="true" applyAlignment="false" applyProtection="false">
      <alignment horizontal="general" vertical="bottom" textRotation="0" wrapText="false" indent="0" shrinkToFit="false"/>
      <protection locked="true" hidden="false"/>
    </xf>
    <xf numFmtId="164" fontId="21" fillId="2" borderId="1" xfId="0" applyFont="true" applyBorder="true" applyAlignment="true" applyProtection="false">
      <alignment horizontal="center" vertical="center" textRotation="0" wrapText="false" indent="0" shrinkToFit="false"/>
      <protection locked="true" hidden="false"/>
    </xf>
    <xf numFmtId="164" fontId="21" fillId="16" borderId="3" xfId="0" applyFont="true" applyBorder="true" applyAlignment="true" applyProtection="false">
      <alignment horizontal="center" vertical="center" textRotation="0" wrapText="false" indent="0" shrinkToFit="false"/>
      <protection locked="true" hidden="false"/>
    </xf>
    <xf numFmtId="164" fontId="21" fillId="17" borderId="4" xfId="0" applyFont="true" applyBorder="true" applyAlignment="true" applyProtection="false">
      <alignment horizontal="center" vertical="center" textRotation="0" wrapText="false" indent="0" shrinkToFit="false"/>
      <protection locked="true" hidden="false"/>
    </xf>
    <xf numFmtId="164" fontId="21" fillId="12" borderId="5" xfId="0" applyFont="true" applyBorder="true" applyAlignment="true" applyProtection="false">
      <alignment horizontal="center" vertical="center" textRotation="0" wrapText="false" indent="0" shrinkToFit="false"/>
      <protection locked="true" hidden="false"/>
    </xf>
    <xf numFmtId="164" fontId="21" fillId="14" borderId="6" xfId="0" applyFont="true" applyBorder="true" applyAlignment="true" applyProtection="false">
      <alignment horizontal="center" vertical="center" textRotation="0" wrapText="false" indent="0" shrinkToFit="false"/>
      <protection locked="true" hidden="false"/>
    </xf>
    <xf numFmtId="164" fontId="21" fillId="13" borderId="7" xfId="0" applyFont="true" applyBorder="true" applyAlignment="true" applyProtection="false">
      <alignment horizontal="center" vertical="center" textRotation="0" wrapText="false" indent="0" shrinkToFit="false"/>
      <protection locked="true" hidden="false"/>
    </xf>
    <xf numFmtId="165" fontId="39" fillId="0" borderId="1" xfId="0" applyFont="true" applyBorder="true" applyAlignment="true" applyProtection="false">
      <alignment horizontal="center" vertical="center" textRotation="0" wrapText="false" indent="0" shrinkToFit="false"/>
      <protection locked="true" hidden="false"/>
    </xf>
    <xf numFmtId="165" fontId="40" fillId="0" borderId="3" xfId="0" applyFont="true" applyBorder="true" applyAlignment="true" applyProtection="false">
      <alignment horizontal="center" vertical="center" textRotation="0" wrapText="false" indent="0" shrinkToFit="false"/>
      <protection locked="true" hidden="false"/>
    </xf>
    <xf numFmtId="164" fontId="41" fillId="0" borderId="4" xfId="0" applyFont="true" applyBorder="true" applyAlignment="true" applyProtection="false">
      <alignment horizontal="center" vertical="center" textRotation="0" wrapText="false" indent="0" shrinkToFit="false"/>
      <protection locked="true" hidden="false"/>
    </xf>
    <xf numFmtId="164" fontId="42" fillId="0" borderId="5" xfId="0" applyFont="true" applyBorder="true" applyAlignment="true" applyProtection="false">
      <alignment horizontal="center" vertical="center" textRotation="0" wrapText="false" indent="0" shrinkToFit="false"/>
      <protection locked="true" hidden="false"/>
    </xf>
    <xf numFmtId="164" fontId="43" fillId="0" borderId="6" xfId="0" applyFont="true" applyBorder="true" applyAlignment="true" applyProtection="false">
      <alignment horizontal="center" vertical="center" textRotation="0" wrapText="false" indent="0" shrinkToFit="false"/>
      <protection locked="true" hidden="false"/>
    </xf>
    <xf numFmtId="164" fontId="44" fillId="0" borderId="7"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5" fillId="13" borderId="2"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center" vertical="center" textRotation="0" wrapText="false" indent="0" shrinkToFit="false"/>
      <protection locked="true" hidden="false"/>
    </xf>
    <xf numFmtId="164" fontId="5" fillId="14" borderId="2" xfId="0" applyFont="true" applyBorder="true" applyAlignment="true" applyProtection="false">
      <alignment horizontal="center" vertical="center" textRotation="0" wrapText="false" indent="0" shrinkToFit="false"/>
      <protection locked="true" hidden="false"/>
    </xf>
    <xf numFmtId="164" fontId="25" fillId="0" borderId="2" xfId="0" applyFont="true" applyBorder="true" applyAlignment="true" applyProtection="false">
      <alignment horizontal="center" vertical="center" textRotation="0" wrapText="false" indent="0" shrinkToFit="false"/>
      <protection locked="true" hidden="false"/>
    </xf>
    <xf numFmtId="164" fontId="5" fillId="15" borderId="2" xfId="0" applyFont="true" applyBorder="true" applyAlignment="true" applyProtection="false">
      <alignment horizontal="center" vertical="center" textRotation="0" wrapText="false" indent="0" shrinkToFit="false"/>
      <protection locked="true" hidden="false"/>
    </xf>
    <xf numFmtId="164" fontId="26" fillId="0" borderId="2" xfId="0" applyFont="true" applyBorder="true" applyAlignment="true" applyProtection="false">
      <alignment horizontal="center" vertical="center" textRotation="0" wrapText="false" indent="0" shrinkToFit="false"/>
      <protection locked="true" hidden="false"/>
    </xf>
    <xf numFmtId="164" fontId="22" fillId="0" borderId="2" xfId="0" applyFont="true" applyBorder="true" applyAlignment="true" applyProtection="false">
      <alignment horizontal="center" vertical="center" textRotation="0" wrapText="false" indent="0" shrinkToFit="false"/>
      <protection locked="true" hidden="false"/>
    </xf>
    <xf numFmtId="164" fontId="5" fillId="16" borderId="2" xfId="0" applyFont="true" applyBorder="true" applyAlignment="true" applyProtection="false">
      <alignment horizontal="center" vertical="center" textRotation="0" wrapText="false" indent="0" shrinkToFit="false"/>
      <protection locked="true" hidden="false"/>
    </xf>
    <xf numFmtId="164" fontId="27" fillId="0" borderId="2" xfId="0" applyFont="true" applyBorder="true" applyAlignment="true" applyProtection="false">
      <alignment horizontal="center" vertical="center" textRotation="0" wrapText="false" indent="0" shrinkToFit="false"/>
      <protection locked="true" hidden="false"/>
    </xf>
    <xf numFmtId="164" fontId="23" fillId="0"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695C"/>
      <rgbColor rgb="FFCCCCCC"/>
      <rgbColor rgb="FF808080"/>
      <rgbColor rgb="FF9999FF"/>
      <rgbColor rgb="FF993366"/>
      <rgbColor rgb="FFFFF3E0"/>
      <rgbColor rgb="FFE3F2FD"/>
      <rgbColor rgb="FF4527A0"/>
      <rgbColor rgb="FFFF8080"/>
      <rgbColor rgb="FF1565C0"/>
      <rgbColor rgb="FFF4F5F7"/>
      <rgbColor rgb="FF000080"/>
      <rgbColor rgb="FFFF00FF"/>
      <rgbColor rgb="FFFFFF00"/>
      <rgbColor rgb="FF00FFFF"/>
      <rgbColor rgb="FF800080"/>
      <rgbColor rgb="FF800000"/>
      <rgbColor rgb="FF008080"/>
      <rgbColor rgb="FF0000FF"/>
      <rgbColor rgb="FF00CCFF"/>
      <rgbColor rgb="FFE8F5E9"/>
      <rgbColor rgb="FFE8EAF6"/>
      <rgbColor rgb="FFFFEBEE"/>
      <rgbColor rgb="FF99CCFF"/>
      <rgbColor rgb="FFFF99CC"/>
      <rgbColor rgb="FFCC99FF"/>
      <rgbColor rgb="FFF7F9FC"/>
      <rgbColor rgb="FF3366FF"/>
      <rgbColor rgb="FF33CCCC"/>
      <rgbColor rgb="FF99CC00"/>
      <rgbColor rgb="FFFFCC00"/>
      <rgbColor rgb="FFFF9900"/>
      <rgbColor rgb="FFE65100"/>
      <rgbColor rgb="FF555555"/>
      <rgbColor rgb="FF969696"/>
      <rgbColor rgb="FF1A237E"/>
      <rgbColor rgb="FF2E7D32"/>
      <rgbColor rgb="FF003300"/>
      <rgbColor rgb="FF1A1A2E"/>
      <rgbColor rgb="FFC62828"/>
      <rgbColor rgb="FF993366"/>
      <rgbColor rgb="FF283593"/>
      <rgbColor rgb="FF2E3A6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0"/>
    <col collapsed="false" customWidth="true" hidden="false" outlineLevel="0" max="4" min="4" style="0" width="11"/>
    <col collapsed="false" customWidth="true" hidden="false" outlineLevel="0" max="5" min="5" style="0" width="40"/>
    <col collapsed="false" customWidth="true" hidden="false" outlineLevel="0" max="6" min="6" style="0" width="18"/>
    <col collapsed="false" customWidth="true" hidden="false" outlineLevel="0" max="8" min="7" style="0" width="35"/>
    <col collapsed="false" customWidth="true" hidden="false" outlineLevel="0" max="9" min="9" style="0" width="45"/>
    <col collapsed="false" customWidth="true" hidden="false" outlineLevel="0" max="10" min="10" style="0" width="12"/>
    <col collapsed="false" customWidth="true" hidden="false" outlineLevel="0" max="11" min="11" style="0" width="24"/>
    <col collapsed="false" customWidth="true" hidden="false" outlineLevel="0" max="12" min="12" style="0" width="12"/>
    <col collapsed="false" customWidth="true" hidden="false" outlineLevel="0" max="13" min="13" style="0" width="14"/>
    <col collapsed="false" customWidth="true" hidden="false" outlineLevel="0" max="14" min="14" style="0" width="28"/>
  </cols>
  <sheetData>
    <row r="1" customFormat="false" ht="31.5" hidden="false" customHeight="true" outlineLevel="0" collapsed="false">
      <c r="A1" s="1" t="s">
        <v>0</v>
      </c>
      <c r="B1" s="1"/>
      <c r="C1" s="1"/>
      <c r="D1" s="1"/>
      <c r="E1" s="1"/>
      <c r="F1" s="1"/>
      <c r="G1" s="1"/>
      <c r="H1" s="1"/>
      <c r="I1" s="1"/>
      <c r="J1" s="1"/>
      <c r="K1" s="1"/>
      <c r="L1" s="1"/>
      <c r="M1" s="1"/>
      <c r="N1" s="1"/>
    </row>
    <row r="2" customFormat="false" ht="21.7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row>
    <row r="3" customFormat="false" ht="69.75" hidden="false" customHeight="true" outlineLevel="0" collapsed="false">
      <c r="A3" s="3" t="s">
        <v>15</v>
      </c>
      <c r="B3" s="3" t="s">
        <v>16</v>
      </c>
      <c r="C3" s="4" t="s">
        <v>17</v>
      </c>
      <c r="D3" s="5" t="s">
        <v>18</v>
      </c>
      <c r="E3" s="6" t="s">
        <v>19</v>
      </c>
      <c r="F3" s="7" t="s">
        <v>20</v>
      </c>
      <c r="G3" s="7" t="s">
        <v>21</v>
      </c>
      <c r="H3" s="7" t="s">
        <v>22</v>
      </c>
      <c r="I3" s="7" t="s">
        <v>23</v>
      </c>
      <c r="J3" s="8" t="n">
        <v>5</v>
      </c>
      <c r="K3" s="9" t="s">
        <v>24</v>
      </c>
      <c r="L3" s="7" t="s">
        <v>25</v>
      </c>
      <c r="M3" s="10" t="s">
        <v>26</v>
      </c>
      <c r="N3" s="7" t="s">
        <v>27</v>
      </c>
    </row>
    <row r="4" customFormat="false" ht="69.75" hidden="false" customHeight="true" outlineLevel="0" collapsed="false">
      <c r="A4" s="11" t="s">
        <v>28</v>
      </c>
      <c r="B4" s="11" t="s">
        <v>16</v>
      </c>
      <c r="C4" s="4" t="s">
        <v>17</v>
      </c>
      <c r="D4" s="5" t="s">
        <v>18</v>
      </c>
      <c r="E4" s="12" t="s">
        <v>29</v>
      </c>
      <c r="F4" s="13" t="s">
        <v>30</v>
      </c>
      <c r="G4" s="13" t="s">
        <v>31</v>
      </c>
      <c r="H4" s="13" t="s">
        <v>32</v>
      </c>
      <c r="I4" s="13" t="s">
        <v>33</v>
      </c>
      <c r="J4" s="14" t="n">
        <v>3</v>
      </c>
      <c r="K4" s="15" t="s">
        <v>24</v>
      </c>
      <c r="L4" s="13" t="s">
        <v>25</v>
      </c>
      <c r="M4" s="10" t="s">
        <v>26</v>
      </c>
      <c r="N4" s="13" t="s">
        <v>34</v>
      </c>
    </row>
    <row r="5" customFormat="false" ht="69.75" hidden="false" customHeight="true" outlineLevel="0" collapsed="false">
      <c r="A5" s="3" t="s">
        <v>35</v>
      </c>
      <c r="B5" s="3" t="s">
        <v>16</v>
      </c>
      <c r="C5" s="4" t="s">
        <v>17</v>
      </c>
      <c r="D5" s="5" t="s">
        <v>18</v>
      </c>
      <c r="E5" s="6" t="s">
        <v>36</v>
      </c>
      <c r="F5" s="7" t="s">
        <v>37</v>
      </c>
      <c r="G5" s="7" t="s">
        <v>38</v>
      </c>
      <c r="H5" s="7" t="s">
        <v>39</v>
      </c>
      <c r="I5" s="7" t="s">
        <v>40</v>
      </c>
      <c r="J5" s="8" t="n">
        <v>3</v>
      </c>
      <c r="K5" s="9" t="s">
        <v>24</v>
      </c>
      <c r="L5" s="7" t="s">
        <v>25</v>
      </c>
      <c r="M5" s="10" t="s">
        <v>26</v>
      </c>
      <c r="N5" s="7" t="s">
        <v>41</v>
      </c>
    </row>
    <row r="6" customFormat="false" ht="69.75" hidden="false" customHeight="true" outlineLevel="0" collapsed="false">
      <c r="A6" s="11" t="s">
        <v>42</v>
      </c>
      <c r="B6" s="11" t="s">
        <v>16</v>
      </c>
      <c r="C6" s="4" t="s">
        <v>17</v>
      </c>
      <c r="D6" s="16" t="s">
        <v>43</v>
      </c>
      <c r="E6" s="12" t="s">
        <v>44</v>
      </c>
      <c r="F6" s="13" t="s">
        <v>45</v>
      </c>
      <c r="G6" s="13" t="s">
        <v>46</v>
      </c>
      <c r="H6" s="13" t="s">
        <v>47</v>
      </c>
      <c r="I6" s="13" t="s">
        <v>48</v>
      </c>
      <c r="J6" s="14" t="n">
        <v>2</v>
      </c>
      <c r="K6" s="15" t="s">
        <v>24</v>
      </c>
      <c r="L6" s="13" t="s">
        <v>25</v>
      </c>
      <c r="M6" s="10" t="s">
        <v>26</v>
      </c>
      <c r="N6" s="13"/>
    </row>
    <row r="7" customFormat="false" ht="69.75" hidden="false" customHeight="true" outlineLevel="0" collapsed="false">
      <c r="A7" s="3" t="s">
        <v>49</v>
      </c>
      <c r="B7" s="3" t="s">
        <v>16</v>
      </c>
      <c r="C7" s="4" t="s">
        <v>17</v>
      </c>
      <c r="D7" s="16" t="s">
        <v>43</v>
      </c>
      <c r="E7" s="6" t="s">
        <v>50</v>
      </c>
      <c r="F7" s="7" t="s">
        <v>51</v>
      </c>
      <c r="G7" s="7" t="s">
        <v>52</v>
      </c>
      <c r="H7" s="7" t="s">
        <v>53</v>
      </c>
      <c r="I7" s="7" t="s">
        <v>54</v>
      </c>
      <c r="J7" s="8" t="n">
        <v>2</v>
      </c>
      <c r="K7" s="9" t="s">
        <v>55</v>
      </c>
      <c r="L7" s="7" t="s">
        <v>56</v>
      </c>
      <c r="M7" s="10" t="s">
        <v>26</v>
      </c>
      <c r="N7" s="7" t="s">
        <v>57</v>
      </c>
    </row>
    <row r="8" customFormat="false" ht="69.75" hidden="false" customHeight="true" outlineLevel="0" collapsed="false">
      <c r="A8" s="11" t="s">
        <v>58</v>
      </c>
      <c r="B8" s="17" t="s">
        <v>59</v>
      </c>
      <c r="C8" s="4" t="s">
        <v>17</v>
      </c>
      <c r="D8" s="5" t="s">
        <v>18</v>
      </c>
      <c r="E8" s="12" t="s">
        <v>60</v>
      </c>
      <c r="F8" s="13" t="s">
        <v>37</v>
      </c>
      <c r="G8" s="13" t="s">
        <v>61</v>
      </c>
      <c r="H8" s="13" t="s">
        <v>62</v>
      </c>
      <c r="I8" s="13" t="s">
        <v>63</v>
      </c>
      <c r="J8" s="14" t="n">
        <v>3</v>
      </c>
      <c r="K8" s="15" t="s">
        <v>64</v>
      </c>
      <c r="L8" s="13" t="s">
        <v>56</v>
      </c>
      <c r="M8" s="10" t="s">
        <v>26</v>
      </c>
      <c r="N8" s="13" t="s">
        <v>65</v>
      </c>
    </row>
    <row r="9" customFormat="false" ht="69.75" hidden="false" customHeight="true" outlineLevel="0" collapsed="false">
      <c r="A9" s="3" t="s">
        <v>66</v>
      </c>
      <c r="B9" s="18" t="s">
        <v>59</v>
      </c>
      <c r="C9" s="4" t="s">
        <v>17</v>
      </c>
      <c r="D9" s="5" t="s">
        <v>18</v>
      </c>
      <c r="E9" s="6" t="s">
        <v>67</v>
      </c>
      <c r="F9" s="7" t="s">
        <v>37</v>
      </c>
      <c r="G9" s="7" t="s">
        <v>68</v>
      </c>
      <c r="H9" s="7" t="s">
        <v>69</v>
      </c>
      <c r="I9" s="7" t="s">
        <v>70</v>
      </c>
      <c r="J9" s="8" t="n">
        <v>3</v>
      </c>
      <c r="K9" s="9" t="s">
        <v>64</v>
      </c>
      <c r="L9" s="7" t="s">
        <v>56</v>
      </c>
      <c r="M9" s="10" t="s">
        <v>26</v>
      </c>
      <c r="N9" s="7" t="s">
        <v>71</v>
      </c>
    </row>
    <row r="10" customFormat="false" ht="69.75" hidden="false" customHeight="true" outlineLevel="0" collapsed="false">
      <c r="A10" s="11" t="s">
        <v>72</v>
      </c>
      <c r="B10" s="17" t="s">
        <v>59</v>
      </c>
      <c r="C10" s="4" t="s">
        <v>17</v>
      </c>
      <c r="D10" s="16" t="s">
        <v>43</v>
      </c>
      <c r="E10" s="12" t="s">
        <v>73</v>
      </c>
      <c r="F10" s="13" t="s">
        <v>37</v>
      </c>
      <c r="G10" s="13" t="s">
        <v>74</v>
      </c>
      <c r="H10" s="13" t="s">
        <v>75</v>
      </c>
      <c r="I10" s="13" t="s">
        <v>76</v>
      </c>
      <c r="J10" s="14" t="n">
        <v>2</v>
      </c>
      <c r="K10" s="15" t="s">
        <v>64</v>
      </c>
      <c r="L10" s="13" t="s">
        <v>56</v>
      </c>
      <c r="M10" s="10" t="s">
        <v>26</v>
      </c>
      <c r="N10" s="13"/>
    </row>
    <row r="11" customFormat="false" ht="69.75" hidden="false" customHeight="true" outlineLevel="0" collapsed="false">
      <c r="A11" s="3" t="s">
        <v>77</v>
      </c>
      <c r="B11" s="18" t="s">
        <v>59</v>
      </c>
      <c r="C11" s="4" t="s">
        <v>17</v>
      </c>
      <c r="D11" s="16" t="s">
        <v>43</v>
      </c>
      <c r="E11" s="6" t="s">
        <v>78</v>
      </c>
      <c r="F11" s="7" t="s">
        <v>37</v>
      </c>
      <c r="G11" s="7" t="s">
        <v>79</v>
      </c>
      <c r="H11" s="7" t="s">
        <v>80</v>
      </c>
      <c r="I11" s="7" t="s">
        <v>81</v>
      </c>
      <c r="J11" s="8" t="n">
        <v>2</v>
      </c>
      <c r="K11" s="9" t="s">
        <v>82</v>
      </c>
      <c r="L11" s="7" t="s">
        <v>83</v>
      </c>
      <c r="M11" s="10" t="s">
        <v>26</v>
      </c>
      <c r="N11" s="7"/>
    </row>
    <row r="12" customFormat="false" ht="69.75" hidden="false" customHeight="true" outlineLevel="0" collapsed="false">
      <c r="A12" s="11" t="s">
        <v>84</v>
      </c>
      <c r="B12" s="19" t="s">
        <v>85</v>
      </c>
      <c r="C12" s="4" t="s">
        <v>17</v>
      </c>
      <c r="D12" s="5" t="s">
        <v>18</v>
      </c>
      <c r="E12" s="12" t="s">
        <v>86</v>
      </c>
      <c r="F12" s="13" t="s">
        <v>37</v>
      </c>
      <c r="G12" s="13" t="s">
        <v>87</v>
      </c>
      <c r="H12" s="13" t="s">
        <v>88</v>
      </c>
      <c r="I12" s="13" t="s">
        <v>89</v>
      </c>
      <c r="J12" s="14" t="n">
        <v>3</v>
      </c>
      <c r="K12" s="15" t="s">
        <v>64</v>
      </c>
      <c r="L12" s="13" t="s">
        <v>56</v>
      </c>
      <c r="M12" s="10" t="s">
        <v>26</v>
      </c>
      <c r="N12" s="13"/>
    </row>
    <row r="13" customFormat="false" ht="69.75" hidden="false" customHeight="true" outlineLevel="0" collapsed="false">
      <c r="A13" s="3" t="s">
        <v>90</v>
      </c>
      <c r="B13" s="20" t="s">
        <v>85</v>
      </c>
      <c r="C13" s="4" t="s">
        <v>17</v>
      </c>
      <c r="D13" s="5" t="s">
        <v>18</v>
      </c>
      <c r="E13" s="6" t="s">
        <v>91</v>
      </c>
      <c r="F13" s="7" t="s">
        <v>37</v>
      </c>
      <c r="G13" s="7" t="s">
        <v>92</v>
      </c>
      <c r="H13" s="7" t="s">
        <v>93</v>
      </c>
      <c r="I13" s="7" t="s">
        <v>94</v>
      </c>
      <c r="J13" s="8" t="n">
        <v>2</v>
      </c>
      <c r="K13" s="9" t="s">
        <v>64</v>
      </c>
      <c r="L13" s="7" t="s">
        <v>56</v>
      </c>
      <c r="M13" s="10" t="s">
        <v>26</v>
      </c>
      <c r="N13" s="7" t="s">
        <v>95</v>
      </c>
    </row>
    <row r="14" customFormat="false" ht="69.75" hidden="false" customHeight="true" outlineLevel="0" collapsed="false">
      <c r="A14" s="11" t="s">
        <v>96</v>
      </c>
      <c r="B14" s="19" t="s">
        <v>85</v>
      </c>
      <c r="C14" s="4" t="s">
        <v>17</v>
      </c>
      <c r="D14" s="21" t="s">
        <v>97</v>
      </c>
      <c r="E14" s="12" t="s">
        <v>98</v>
      </c>
      <c r="F14" s="13" t="s">
        <v>37</v>
      </c>
      <c r="G14" s="13" t="s">
        <v>99</v>
      </c>
      <c r="H14" s="13" t="s">
        <v>100</v>
      </c>
      <c r="I14" s="13" t="s">
        <v>101</v>
      </c>
      <c r="J14" s="14" t="n">
        <v>2</v>
      </c>
      <c r="K14" s="15" t="s">
        <v>82</v>
      </c>
      <c r="L14" s="13" t="s">
        <v>83</v>
      </c>
      <c r="M14" s="10" t="s">
        <v>26</v>
      </c>
      <c r="N14" s="13"/>
    </row>
    <row r="15" customFormat="false" ht="69.75" hidden="false" customHeight="true" outlineLevel="0" collapsed="false">
      <c r="A15" s="3" t="s">
        <v>102</v>
      </c>
      <c r="B15" s="20" t="s">
        <v>103</v>
      </c>
      <c r="C15" s="4" t="s">
        <v>17</v>
      </c>
      <c r="D15" s="22" t="s">
        <v>104</v>
      </c>
      <c r="E15" s="6" t="s">
        <v>105</v>
      </c>
      <c r="F15" s="7" t="s">
        <v>30</v>
      </c>
      <c r="G15" s="7" t="s">
        <v>106</v>
      </c>
      <c r="H15" s="7" t="s">
        <v>107</v>
      </c>
      <c r="I15" s="7" t="s">
        <v>108</v>
      </c>
      <c r="J15" s="8" t="n">
        <v>5</v>
      </c>
      <c r="K15" s="9" t="s">
        <v>55</v>
      </c>
      <c r="L15" s="7" t="s">
        <v>25</v>
      </c>
      <c r="M15" s="10" t="s">
        <v>26</v>
      </c>
      <c r="N15" s="7" t="s">
        <v>109</v>
      </c>
    </row>
    <row r="16" customFormat="false" ht="69.75" hidden="false" customHeight="true" outlineLevel="0" collapsed="false">
      <c r="A16" s="11" t="s">
        <v>110</v>
      </c>
      <c r="B16" s="19" t="s">
        <v>103</v>
      </c>
      <c r="C16" s="4" t="s">
        <v>17</v>
      </c>
      <c r="D16" s="22" t="s">
        <v>104</v>
      </c>
      <c r="E16" s="12" t="s">
        <v>111</v>
      </c>
      <c r="F16" s="13" t="s">
        <v>30</v>
      </c>
      <c r="G16" s="13" t="s">
        <v>112</v>
      </c>
      <c r="H16" s="13" t="s">
        <v>113</v>
      </c>
      <c r="I16" s="13" t="s">
        <v>114</v>
      </c>
      <c r="J16" s="14" t="n">
        <v>5</v>
      </c>
      <c r="K16" s="15" t="s">
        <v>55</v>
      </c>
      <c r="L16" s="13" t="s">
        <v>25</v>
      </c>
      <c r="M16" s="10" t="s">
        <v>26</v>
      </c>
      <c r="N16" s="13" t="s">
        <v>115</v>
      </c>
    </row>
    <row r="17" customFormat="false" ht="69.75" hidden="false" customHeight="true" outlineLevel="0" collapsed="false">
      <c r="A17" s="3" t="s">
        <v>116</v>
      </c>
      <c r="B17" s="20" t="s">
        <v>103</v>
      </c>
      <c r="C17" s="4" t="s">
        <v>17</v>
      </c>
      <c r="D17" s="5" t="s">
        <v>18</v>
      </c>
      <c r="E17" s="6" t="s">
        <v>117</v>
      </c>
      <c r="F17" s="7" t="s">
        <v>118</v>
      </c>
      <c r="G17" s="7" t="s">
        <v>119</v>
      </c>
      <c r="H17" s="7" t="s">
        <v>120</v>
      </c>
      <c r="I17" s="7" t="s">
        <v>121</v>
      </c>
      <c r="J17" s="8" t="n">
        <v>8</v>
      </c>
      <c r="K17" s="9" t="s">
        <v>55</v>
      </c>
      <c r="L17" s="7" t="s">
        <v>56</v>
      </c>
      <c r="M17" s="10" t="s">
        <v>26</v>
      </c>
      <c r="N17" s="7" t="s">
        <v>122</v>
      </c>
    </row>
    <row r="18" customFormat="false" ht="69.75" hidden="false" customHeight="true" outlineLevel="0" collapsed="false">
      <c r="A18" s="11" t="s">
        <v>123</v>
      </c>
      <c r="B18" s="19" t="s">
        <v>103</v>
      </c>
      <c r="C18" s="4" t="s">
        <v>17</v>
      </c>
      <c r="D18" s="16" t="s">
        <v>43</v>
      </c>
      <c r="E18" s="12" t="s">
        <v>124</v>
      </c>
      <c r="F18" s="13" t="s">
        <v>30</v>
      </c>
      <c r="G18" s="13" t="s">
        <v>125</v>
      </c>
      <c r="H18" s="13" t="s">
        <v>126</v>
      </c>
      <c r="I18" s="13" t="s">
        <v>127</v>
      </c>
      <c r="J18" s="14" t="n">
        <v>3</v>
      </c>
      <c r="K18" s="15" t="s">
        <v>128</v>
      </c>
      <c r="L18" s="13" t="s">
        <v>83</v>
      </c>
      <c r="M18" s="10" t="s">
        <v>26</v>
      </c>
      <c r="N18" s="13"/>
    </row>
    <row r="19" customFormat="false" ht="69.75" hidden="false" customHeight="true" outlineLevel="0" collapsed="false">
      <c r="A19" s="3" t="s">
        <v>129</v>
      </c>
      <c r="B19" s="20" t="s">
        <v>103</v>
      </c>
      <c r="C19" s="4" t="s">
        <v>17</v>
      </c>
      <c r="D19" s="16" t="s">
        <v>43</v>
      </c>
      <c r="E19" s="6" t="s">
        <v>130</v>
      </c>
      <c r="F19" s="7" t="s">
        <v>30</v>
      </c>
      <c r="G19" s="7" t="s">
        <v>131</v>
      </c>
      <c r="H19" s="7" t="s">
        <v>132</v>
      </c>
      <c r="I19" s="7" t="s">
        <v>133</v>
      </c>
      <c r="J19" s="8" t="n">
        <v>2</v>
      </c>
      <c r="K19" s="9" t="s">
        <v>55</v>
      </c>
      <c r="L19" s="7" t="s">
        <v>83</v>
      </c>
      <c r="M19" s="10" t="s">
        <v>26</v>
      </c>
      <c r="N19" s="7" t="s">
        <v>134</v>
      </c>
    </row>
    <row r="20" customFormat="false" ht="69.75" hidden="false" customHeight="true" outlineLevel="0" collapsed="false">
      <c r="A20" s="11" t="s">
        <v>135</v>
      </c>
      <c r="B20" s="23" t="s">
        <v>136</v>
      </c>
      <c r="C20" s="4" t="s">
        <v>17</v>
      </c>
      <c r="D20" s="22" t="s">
        <v>104</v>
      </c>
      <c r="E20" s="12" t="s">
        <v>137</v>
      </c>
      <c r="F20" s="13" t="s">
        <v>51</v>
      </c>
      <c r="G20" s="13" t="s">
        <v>138</v>
      </c>
      <c r="H20" s="13" t="s">
        <v>139</v>
      </c>
      <c r="I20" s="13" t="s">
        <v>140</v>
      </c>
      <c r="J20" s="14" t="n">
        <v>5</v>
      </c>
      <c r="K20" s="15" t="s">
        <v>55</v>
      </c>
      <c r="L20" s="13" t="s">
        <v>56</v>
      </c>
      <c r="M20" s="10" t="s">
        <v>26</v>
      </c>
      <c r="N20" s="13" t="s">
        <v>141</v>
      </c>
    </row>
    <row r="21" customFormat="false" ht="69.75" hidden="false" customHeight="true" outlineLevel="0" collapsed="false">
      <c r="A21" s="3" t="s">
        <v>142</v>
      </c>
      <c r="B21" s="24" t="s">
        <v>136</v>
      </c>
      <c r="C21" s="4" t="s">
        <v>17</v>
      </c>
      <c r="D21" s="22" t="s">
        <v>104</v>
      </c>
      <c r="E21" s="6" t="s">
        <v>143</v>
      </c>
      <c r="F21" s="7" t="s">
        <v>51</v>
      </c>
      <c r="G21" s="7" t="s">
        <v>144</v>
      </c>
      <c r="H21" s="7" t="s">
        <v>145</v>
      </c>
      <c r="I21" s="7" t="s">
        <v>146</v>
      </c>
      <c r="J21" s="8" t="n">
        <v>8</v>
      </c>
      <c r="K21" s="9" t="s">
        <v>55</v>
      </c>
      <c r="L21" s="7" t="s">
        <v>56</v>
      </c>
      <c r="M21" s="10" t="s">
        <v>26</v>
      </c>
      <c r="N21" s="7" t="s">
        <v>147</v>
      </c>
    </row>
    <row r="22" customFormat="false" ht="69.75" hidden="false" customHeight="true" outlineLevel="0" collapsed="false">
      <c r="A22" s="11" t="s">
        <v>148</v>
      </c>
      <c r="B22" s="23" t="s">
        <v>136</v>
      </c>
      <c r="C22" s="4" t="s">
        <v>17</v>
      </c>
      <c r="D22" s="5" t="s">
        <v>18</v>
      </c>
      <c r="E22" s="12" t="s">
        <v>149</v>
      </c>
      <c r="F22" s="13" t="s">
        <v>51</v>
      </c>
      <c r="G22" s="13" t="s">
        <v>150</v>
      </c>
      <c r="H22" s="13" t="s">
        <v>151</v>
      </c>
      <c r="I22" s="13" t="s">
        <v>152</v>
      </c>
      <c r="J22" s="14" t="n">
        <v>3</v>
      </c>
      <c r="K22" s="15" t="s">
        <v>55</v>
      </c>
      <c r="L22" s="13" t="s">
        <v>56</v>
      </c>
      <c r="M22" s="10" t="s">
        <v>26</v>
      </c>
      <c r="N22" s="13"/>
    </row>
    <row r="23" customFormat="false" ht="69.75" hidden="false" customHeight="true" outlineLevel="0" collapsed="false">
      <c r="A23" s="3" t="s">
        <v>153</v>
      </c>
      <c r="B23" s="24" t="s">
        <v>136</v>
      </c>
      <c r="C23" s="4" t="s">
        <v>17</v>
      </c>
      <c r="D23" s="5" t="s">
        <v>18</v>
      </c>
      <c r="E23" s="6" t="s">
        <v>154</v>
      </c>
      <c r="F23" s="7" t="s">
        <v>51</v>
      </c>
      <c r="G23" s="7" t="s">
        <v>155</v>
      </c>
      <c r="H23" s="7" t="s">
        <v>156</v>
      </c>
      <c r="I23" s="7" t="s">
        <v>157</v>
      </c>
      <c r="J23" s="8" t="n">
        <v>3</v>
      </c>
      <c r="K23" s="9" t="s">
        <v>55</v>
      </c>
      <c r="L23" s="7" t="s">
        <v>56</v>
      </c>
      <c r="M23" s="10" t="s">
        <v>26</v>
      </c>
      <c r="N23" s="7" t="s">
        <v>158</v>
      </c>
    </row>
    <row r="24" customFormat="false" ht="69.75" hidden="false" customHeight="true" outlineLevel="0" collapsed="false">
      <c r="A24" s="11" t="s">
        <v>159</v>
      </c>
      <c r="B24" s="23" t="s">
        <v>136</v>
      </c>
      <c r="C24" s="4" t="s">
        <v>17</v>
      </c>
      <c r="D24" s="16" t="s">
        <v>43</v>
      </c>
      <c r="E24" s="12" t="s">
        <v>160</v>
      </c>
      <c r="F24" s="13" t="s">
        <v>51</v>
      </c>
      <c r="G24" s="13" t="s">
        <v>161</v>
      </c>
      <c r="H24" s="13" t="s">
        <v>162</v>
      </c>
      <c r="I24" s="13" t="s">
        <v>163</v>
      </c>
      <c r="J24" s="14" t="n">
        <v>3</v>
      </c>
      <c r="K24" s="15" t="s">
        <v>82</v>
      </c>
      <c r="L24" s="13" t="s">
        <v>83</v>
      </c>
      <c r="M24" s="10" t="s">
        <v>26</v>
      </c>
      <c r="N24" s="13"/>
    </row>
    <row r="25" customFormat="false" ht="69.75" hidden="false" customHeight="true" outlineLevel="0" collapsed="false">
      <c r="A25" s="3" t="s">
        <v>164</v>
      </c>
      <c r="B25" s="24" t="s">
        <v>136</v>
      </c>
      <c r="C25" s="4" t="s">
        <v>17</v>
      </c>
      <c r="D25" s="16" t="s">
        <v>43</v>
      </c>
      <c r="E25" s="6" t="s">
        <v>165</v>
      </c>
      <c r="F25" s="7" t="s">
        <v>51</v>
      </c>
      <c r="G25" s="7" t="s">
        <v>166</v>
      </c>
      <c r="H25" s="7" t="s">
        <v>167</v>
      </c>
      <c r="I25" s="7" t="s">
        <v>168</v>
      </c>
      <c r="J25" s="8" t="n">
        <v>3</v>
      </c>
      <c r="K25" s="9" t="s">
        <v>82</v>
      </c>
      <c r="L25" s="7" t="s">
        <v>169</v>
      </c>
      <c r="M25" s="10" t="s">
        <v>26</v>
      </c>
      <c r="N25" s="7"/>
    </row>
    <row r="26" customFormat="false" ht="69.75" hidden="false" customHeight="true" outlineLevel="0" collapsed="false">
      <c r="A26" s="11" t="s">
        <v>170</v>
      </c>
      <c r="B26" s="25" t="s">
        <v>171</v>
      </c>
      <c r="C26" s="4" t="s">
        <v>17</v>
      </c>
      <c r="D26" s="5" t="s">
        <v>18</v>
      </c>
      <c r="E26" s="12" t="s">
        <v>172</v>
      </c>
      <c r="F26" s="13" t="s">
        <v>37</v>
      </c>
      <c r="G26" s="13" t="s">
        <v>173</v>
      </c>
      <c r="H26" s="13" t="s">
        <v>174</v>
      </c>
      <c r="I26" s="13" t="s">
        <v>175</v>
      </c>
      <c r="J26" s="14" t="n">
        <v>5</v>
      </c>
      <c r="K26" s="15" t="s">
        <v>64</v>
      </c>
      <c r="L26" s="13" t="s">
        <v>56</v>
      </c>
      <c r="M26" s="10" t="s">
        <v>26</v>
      </c>
      <c r="N26" s="13" t="s">
        <v>176</v>
      </c>
    </row>
    <row r="27" customFormat="false" ht="69.75" hidden="false" customHeight="true" outlineLevel="0" collapsed="false">
      <c r="A27" s="3" t="s">
        <v>177</v>
      </c>
      <c r="B27" s="26" t="s">
        <v>171</v>
      </c>
      <c r="C27" s="4" t="s">
        <v>17</v>
      </c>
      <c r="D27" s="5" t="s">
        <v>18</v>
      </c>
      <c r="E27" s="6" t="s">
        <v>178</v>
      </c>
      <c r="F27" s="7" t="s">
        <v>37</v>
      </c>
      <c r="G27" s="7" t="s">
        <v>179</v>
      </c>
      <c r="H27" s="7" t="s">
        <v>180</v>
      </c>
      <c r="I27" s="7" t="s">
        <v>181</v>
      </c>
      <c r="J27" s="8" t="n">
        <v>3</v>
      </c>
      <c r="K27" s="9" t="s">
        <v>64</v>
      </c>
      <c r="L27" s="7" t="s">
        <v>83</v>
      </c>
      <c r="M27" s="10" t="s">
        <v>26</v>
      </c>
      <c r="N27" s="7"/>
    </row>
    <row r="28" customFormat="false" ht="69.75" hidden="false" customHeight="true" outlineLevel="0" collapsed="false">
      <c r="A28" s="11" t="s">
        <v>182</v>
      </c>
      <c r="B28" s="25" t="s">
        <v>171</v>
      </c>
      <c r="C28" s="4" t="s">
        <v>17</v>
      </c>
      <c r="D28" s="5" t="s">
        <v>18</v>
      </c>
      <c r="E28" s="12" t="s">
        <v>183</v>
      </c>
      <c r="F28" s="13" t="s">
        <v>37</v>
      </c>
      <c r="G28" s="13" t="s">
        <v>184</v>
      </c>
      <c r="H28" s="13" t="s">
        <v>185</v>
      </c>
      <c r="I28" s="13" t="s">
        <v>186</v>
      </c>
      <c r="J28" s="14" t="n">
        <v>3</v>
      </c>
      <c r="K28" s="15" t="s">
        <v>64</v>
      </c>
      <c r="L28" s="13" t="s">
        <v>83</v>
      </c>
      <c r="M28" s="10" t="s">
        <v>26</v>
      </c>
      <c r="N28" s="13" t="s">
        <v>187</v>
      </c>
    </row>
    <row r="29" customFormat="false" ht="69.75" hidden="false" customHeight="true" outlineLevel="0" collapsed="false">
      <c r="A29" s="3" t="s">
        <v>188</v>
      </c>
      <c r="B29" s="26" t="s">
        <v>171</v>
      </c>
      <c r="C29" s="4" t="s">
        <v>17</v>
      </c>
      <c r="D29" s="16" t="s">
        <v>43</v>
      </c>
      <c r="E29" s="6" t="s">
        <v>189</v>
      </c>
      <c r="F29" s="7" t="s">
        <v>37</v>
      </c>
      <c r="G29" s="7" t="s">
        <v>190</v>
      </c>
      <c r="H29" s="7" t="s">
        <v>191</v>
      </c>
      <c r="I29" s="7" t="s">
        <v>192</v>
      </c>
      <c r="J29" s="8" t="n">
        <v>3</v>
      </c>
      <c r="K29" s="9" t="s">
        <v>82</v>
      </c>
      <c r="L29" s="7" t="s">
        <v>83</v>
      </c>
      <c r="M29" s="10" t="s">
        <v>26</v>
      </c>
      <c r="N29" s="7"/>
    </row>
    <row r="30" customFormat="false" ht="69.75" hidden="false" customHeight="true" outlineLevel="0" collapsed="false">
      <c r="A30" s="11" t="s">
        <v>193</v>
      </c>
      <c r="B30" s="25" t="s">
        <v>171</v>
      </c>
      <c r="C30" s="4" t="s">
        <v>17</v>
      </c>
      <c r="D30" s="16" t="s">
        <v>43</v>
      </c>
      <c r="E30" s="12" t="s">
        <v>194</v>
      </c>
      <c r="F30" s="13" t="s">
        <v>30</v>
      </c>
      <c r="G30" s="13" t="s">
        <v>195</v>
      </c>
      <c r="H30" s="13" t="s">
        <v>196</v>
      </c>
      <c r="I30" s="13" t="s">
        <v>197</v>
      </c>
      <c r="J30" s="14" t="n">
        <v>3</v>
      </c>
      <c r="K30" s="15" t="s">
        <v>128</v>
      </c>
      <c r="L30" s="13" t="s">
        <v>83</v>
      </c>
      <c r="M30" s="10" t="s">
        <v>26</v>
      </c>
      <c r="N30" s="13"/>
    </row>
    <row r="31" customFormat="false" ht="69.75" hidden="false" customHeight="true" outlineLevel="0" collapsed="false">
      <c r="A31" s="3" t="s">
        <v>198</v>
      </c>
      <c r="B31" s="27" t="s">
        <v>199</v>
      </c>
      <c r="C31" s="4" t="s">
        <v>17</v>
      </c>
      <c r="D31" s="5" t="s">
        <v>18</v>
      </c>
      <c r="E31" s="6" t="s">
        <v>200</v>
      </c>
      <c r="F31" s="7" t="s">
        <v>201</v>
      </c>
      <c r="G31" s="7" t="s">
        <v>202</v>
      </c>
      <c r="H31" s="7" t="s">
        <v>203</v>
      </c>
      <c r="I31" s="7" t="s">
        <v>204</v>
      </c>
      <c r="J31" s="8" t="n">
        <v>5</v>
      </c>
      <c r="K31" s="9" t="s">
        <v>64</v>
      </c>
      <c r="L31" s="7" t="s">
        <v>56</v>
      </c>
      <c r="M31" s="10" t="s">
        <v>26</v>
      </c>
      <c r="N31" s="7" t="s">
        <v>205</v>
      </c>
    </row>
    <row r="32" customFormat="false" ht="69.75" hidden="false" customHeight="true" outlineLevel="0" collapsed="false">
      <c r="A32" s="11" t="s">
        <v>206</v>
      </c>
      <c r="B32" s="28" t="s">
        <v>199</v>
      </c>
      <c r="C32" s="4" t="s">
        <v>17</v>
      </c>
      <c r="D32" s="5" t="s">
        <v>18</v>
      </c>
      <c r="E32" s="12" t="s">
        <v>207</v>
      </c>
      <c r="F32" s="13" t="s">
        <v>37</v>
      </c>
      <c r="G32" s="13" t="s">
        <v>208</v>
      </c>
      <c r="H32" s="13" t="s">
        <v>209</v>
      </c>
      <c r="I32" s="13" t="s">
        <v>210</v>
      </c>
      <c r="J32" s="14" t="n">
        <v>3</v>
      </c>
      <c r="K32" s="15" t="s">
        <v>64</v>
      </c>
      <c r="L32" s="13" t="s">
        <v>83</v>
      </c>
      <c r="M32" s="10" t="s">
        <v>26</v>
      </c>
      <c r="N32" s="13" t="s">
        <v>211</v>
      </c>
    </row>
    <row r="33" customFormat="false" ht="69.75" hidden="false" customHeight="true" outlineLevel="0" collapsed="false">
      <c r="A33" s="3" t="s">
        <v>212</v>
      </c>
      <c r="B33" s="27" t="s">
        <v>199</v>
      </c>
      <c r="C33" s="4" t="s">
        <v>17</v>
      </c>
      <c r="D33" s="16" t="s">
        <v>43</v>
      </c>
      <c r="E33" s="6" t="s">
        <v>213</v>
      </c>
      <c r="F33" s="7" t="s">
        <v>37</v>
      </c>
      <c r="G33" s="7" t="s">
        <v>214</v>
      </c>
      <c r="H33" s="7" t="s">
        <v>215</v>
      </c>
      <c r="I33" s="7" t="s">
        <v>216</v>
      </c>
      <c r="J33" s="8" t="n">
        <v>2</v>
      </c>
      <c r="K33" s="9" t="s">
        <v>64</v>
      </c>
      <c r="L33" s="7" t="s">
        <v>169</v>
      </c>
      <c r="M33" s="10" t="s">
        <v>26</v>
      </c>
      <c r="N33" s="7"/>
    </row>
    <row r="34" customFormat="false" ht="69.75" hidden="false" customHeight="true" outlineLevel="0" collapsed="false">
      <c r="A34" s="11" t="s">
        <v>217</v>
      </c>
      <c r="B34" s="28" t="s">
        <v>199</v>
      </c>
      <c r="C34" s="4" t="s">
        <v>17</v>
      </c>
      <c r="D34" s="16" t="s">
        <v>43</v>
      </c>
      <c r="E34" s="12" t="s">
        <v>218</v>
      </c>
      <c r="F34" s="13" t="s">
        <v>37</v>
      </c>
      <c r="G34" s="13" t="s">
        <v>219</v>
      </c>
      <c r="H34" s="13" t="s">
        <v>220</v>
      </c>
      <c r="I34" s="13" t="s">
        <v>221</v>
      </c>
      <c r="J34" s="14" t="n">
        <v>2</v>
      </c>
      <c r="K34" s="15" t="s">
        <v>82</v>
      </c>
      <c r="L34" s="13" t="s">
        <v>83</v>
      </c>
      <c r="M34" s="10" t="s">
        <v>26</v>
      </c>
      <c r="N34" s="13"/>
    </row>
    <row r="35" customFormat="false" ht="69.75" hidden="false" customHeight="true" outlineLevel="0" collapsed="false">
      <c r="A35" s="3" t="s">
        <v>222</v>
      </c>
      <c r="B35" s="9" t="s">
        <v>223</v>
      </c>
      <c r="C35" s="4" t="s">
        <v>17</v>
      </c>
      <c r="D35" s="5" t="s">
        <v>18</v>
      </c>
      <c r="E35" s="6" t="s">
        <v>224</v>
      </c>
      <c r="F35" s="7" t="s">
        <v>30</v>
      </c>
      <c r="G35" s="7" t="s">
        <v>225</v>
      </c>
      <c r="H35" s="7" t="s">
        <v>226</v>
      </c>
      <c r="I35" s="7" t="s">
        <v>227</v>
      </c>
      <c r="J35" s="8" t="n">
        <v>5</v>
      </c>
      <c r="K35" s="9" t="s">
        <v>128</v>
      </c>
      <c r="L35" s="7" t="s">
        <v>83</v>
      </c>
      <c r="M35" s="10" t="s">
        <v>26</v>
      </c>
      <c r="N35" s="7"/>
    </row>
    <row r="36" customFormat="false" ht="69.75" hidden="false" customHeight="true" outlineLevel="0" collapsed="false">
      <c r="A36" s="11" t="s">
        <v>228</v>
      </c>
      <c r="B36" s="15" t="s">
        <v>223</v>
      </c>
      <c r="C36" s="4" t="s">
        <v>17</v>
      </c>
      <c r="D36" s="5" t="s">
        <v>18</v>
      </c>
      <c r="E36" s="12" t="s">
        <v>229</v>
      </c>
      <c r="F36" s="13" t="s">
        <v>30</v>
      </c>
      <c r="G36" s="13" t="s">
        <v>230</v>
      </c>
      <c r="H36" s="13" t="s">
        <v>231</v>
      </c>
      <c r="I36" s="13" t="s">
        <v>232</v>
      </c>
      <c r="J36" s="14" t="n">
        <v>5</v>
      </c>
      <c r="K36" s="15" t="s">
        <v>128</v>
      </c>
      <c r="L36" s="13" t="s">
        <v>56</v>
      </c>
      <c r="M36" s="10" t="s">
        <v>26</v>
      </c>
      <c r="N36" s="13" t="s">
        <v>233</v>
      </c>
    </row>
    <row r="37" customFormat="false" ht="69.75" hidden="false" customHeight="true" outlineLevel="0" collapsed="false">
      <c r="A37" s="3" t="s">
        <v>234</v>
      </c>
      <c r="B37" s="9" t="s">
        <v>223</v>
      </c>
      <c r="C37" s="4" t="s">
        <v>17</v>
      </c>
      <c r="D37" s="16" t="s">
        <v>43</v>
      </c>
      <c r="E37" s="6" t="s">
        <v>235</v>
      </c>
      <c r="F37" s="7" t="s">
        <v>30</v>
      </c>
      <c r="G37" s="7" t="s">
        <v>236</v>
      </c>
      <c r="H37" s="7" t="s">
        <v>237</v>
      </c>
      <c r="I37" s="7" t="s">
        <v>238</v>
      </c>
      <c r="J37" s="8" t="n">
        <v>3</v>
      </c>
      <c r="K37" s="9" t="s">
        <v>128</v>
      </c>
      <c r="L37" s="7" t="s">
        <v>169</v>
      </c>
      <c r="M37" s="10" t="s">
        <v>26</v>
      </c>
      <c r="N37" s="7"/>
    </row>
    <row r="38" customFormat="false" ht="69.75" hidden="false" customHeight="true" outlineLevel="0" collapsed="false">
      <c r="A38" s="11" t="s">
        <v>239</v>
      </c>
      <c r="B38" s="15" t="s">
        <v>223</v>
      </c>
      <c r="C38" s="4" t="s">
        <v>17</v>
      </c>
      <c r="D38" s="16" t="s">
        <v>43</v>
      </c>
      <c r="E38" s="12" t="s">
        <v>240</v>
      </c>
      <c r="F38" s="13" t="s">
        <v>30</v>
      </c>
      <c r="G38" s="13" t="s">
        <v>241</v>
      </c>
      <c r="H38" s="13" t="s">
        <v>242</v>
      </c>
      <c r="I38" s="13" t="s">
        <v>243</v>
      </c>
      <c r="J38" s="14" t="n">
        <v>3</v>
      </c>
      <c r="K38" s="15" t="s">
        <v>128</v>
      </c>
      <c r="L38" s="13" t="s">
        <v>169</v>
      </c>
      <c r="M38" s="10" t="s">
        <v>26</v>
      </c>
      <c r="N38" s="13"/>
    </row>
    <row r="39" customFormat="false" ht="69.75" hidden="false" customHeight="true" outlineLevel="0" collapsed="false">
      <c r="A39" s="3" t="s">
        <v>244</v>
      </c>
      <c r="B39" s="24" t="s">
        <v>245</v>
      </c>
      <c r="C39" s="4" t="s">
        <v>17</v>
      </c>
      <c r="D39" s="5" t="s">
        <v>18</v>
      </c>
      <c r="E39" s="6" t="s">
        <v>246</v>
      </c>
      <c r="F39" s="7" t="s">
        <v>51</v>
      </c>
      <c r="G39" s="7" t="s">
        <v>247</v>
      </c>
      <c r="H39" s="7" t="s">
        <v>248</v>
      </c>
      <c r="I39" s="7" t="s">
        <v>249</v>
      </c>
      <c r="J39" s="8" t="n">
        <v>8</v>
      </c>
      <c r="K39" s="9" t="s">
        <v>82</v>
      </c>
      <c r="L39" s="7" t="s">
        <v>56</v>
      </c>
      <c r="M39" s="10" t="s">
        <v>26</v>
      </c>
      <c r="N39" s="7" t="s">
        <v>250</v>
      </c>
    </row>
    <row r="40" customFormat="false" ht="69.75" hidden="false" customHeight="true" outlineLevel="0" collapsed="false">
      <c r="A40" s="11" t="s">
        <v>251</v>
      </c>
      <c r="B40" s="23" t="s">
        <v>245</v>
      </c>
      <c r="C40" s="4" t="s">
        <v>17</v>
      </c>
      <c r="D40" s="5" t="s">
        <v>18</v>
      </c>
      <c r="E40" s="12" t="s">
        <v>252</v>
      </c>
      <c r="F40" s="13" t="s">
        <v>51</v>
      </c>
      <c r="G40" s="13" t="s">
        <v>253</v>
      </c>
      <c r="H40" s="13" t="s">
        <v>254</v>
      </c>
      <c r="I40" s="13" t="s">
        <v>255</v>
      </c>
      <c r="J40" s="14" t="n">
        <v>5</v>
      </c>
      <c r="K40" s="15" t="s">
        <v>82</v>
      </c>
      <c r="L40" s="13" t="s">
        <v>83</v>
      </c>
      <c r="M40" s="10" t="s">
        <v>26</v>
      </c>
      <c r="N40" s="13"/>
    </row>
    <row r="41" customFormat="false" ht="69.75" hidden="false" customHeight="true" outlineLevel="0" collapsed="false">
      <c r="A41" s="3" t="s">
        <v>256</v>
      </c>
      <c r="B41" s="24" t="s">
        <v>245</v>
      </c>
      <c r="C41" s="4" t="s">
        <v>17</v>
      </c>
      <c r="D41" s="16" t="s">
        <v>43</v>
      </c>
      <c r="E41" s="6" t="s">
        <v>257</v>
      </c>
      <c r="F41" s="7" t="s">
        <v>51</v>
      </c>
      <c r="G41" s="7" t="s">
        <v>258</v>
      </c>
      <c r="H41" s="7" t="s">
        <v>259</v>
      </c>
      <c r="I41" s="7" t="s">
        <v>260</v>
      </c>
      <c r="J41" s="8" t="n">
        <v>3</v>
      </c>
      <c r="K41" s="9" t="s">
        <v>82</v>
      </c>
      <c r="L41" s="7" t="s">
        <v>83</v>
      </c>
      <c r="M41" s="10" t="s">
        <v>26</v>
      </c>
      <c r="N41" s="7"/>
    </row>
    <row r="42" customFormat="false" ht="69.75" hidden="false" customHeight="true" outlineLevel="0" collapsed="false">
      <c r="A42" s="11" t="s">
        <v>261</v>
      </c>
      <c r="B42" s="17" t="s">
        <v>262</v>
      </c>
      <c r="C42" s="4" t="s">
        <v>17</v>
      </c>
      <c r="D42" s="5" t="s">
        <v>18</v>
      </c>
      <c r="E42" s="12" t="s">
        <v>263</v>
      </c>
      <c r="F42" s="13" t="s">
        <v>37</v>
      </c>
      <c r="G42" s="13" t="s">
        <v>264</v>
      </c>
      <c r="H42" s="13" t="s">
        <v>265</v>
      </c>
      <c r="I42" s="13" t="s">
        <v>266</v>
      </c>
      <c r="J42" s="14" t="n">
        <v>5</v>
      </c>
      <c r="K42" s="15" t="s">
        <v>82</v>
      </c>
      <c r="L42" s="13" t="s">
        <v>83</v>
      </c>
      <c r="M42" s="10" t="s">
        <v>26</v>
      </c>
      <c r="N42" s="13"/>
    </row>
    <row r="43" customFormat="false" ht="69.75" hidden="false" customHeight="true" outlineLevel="0" collapsed="false">
      <c r="A43" s="3" t="s">
        <v>267</v>
      </c>
      <c r="B43" s="18" t="s">
        <v>262</v>
      </c>
      <c r="C43" s="4" t="s">
        <v>17</v>
      </c>
      <c r="D43" s="5" t="s">
        <v>18</v>
      </c>
      <c r="E43" s="6" t="s">
        <v>268</v>
      </c>
      <c r="F43" s="7" t="s">
        <v>37</v>
      </c>
      <c r="G43" s="7" t="s">
        <v>269</v>
      </c>
      <c r="H43" s="7" t="s">
        <v>270</v>
      </c>
      <c r="I43" s="7" t="s">
        <v>271</v>
      </c>
      <c r="J43" s="8" t="n">
        <v>5</v>
      </c>
      <c r="K43" s="9" t="s">
        <v>82</v>
      </c>
      <c r="L43" s="7" t="s">
        <v>83</v>
      </c>
      <c r="M43" s="10" t="s">
        <v>26</v>
      </c>
      <c r="N43" s="7"/>
    </row>
    <row r="44" customFormat="false" ht="69.75" hidden="false" customHeight="true" outlineLevel="0" collapsed="false">
      <c r="A44" s="11" t="s">
        <v>272</v>
      </c>
      <c r="B44" s="17" t="s">
        <v>262</v>
      </c>
      <c r="C44" s="4" t="s">
        <v>17</v>
      </c>
      <c r="D44" s="16" t="s">
        <v>43</v>
      </c>
      <c r="E44" s="12" t="s">
        <v>273</v>
      </c>
      <c r="F44" s="13" t="s">
        <v>37</v>
      </c>
      <c r="G44" s="13" t="s">
        <v>274</v>
      </c>
      <c r="H44" s="13" t="s">
        <v>275</v>
      </c>
      <c r="I44" s="13" t="s">
        <v>276</v>
      </c>
      <c r="J44" s="14" t="n">
        <v>3</v>
      </c>
      <c r="K44" s="15" t="s">
        <v>82</v>
      </c>
      <c r="L44" s="13" t="s">
        <v>169</v>
      </c>
      <c r="M44" s="10" t="s">
        <v>26</v>
      </c>
      <c r="N44" s="13"/>
    </row>
    <row r="45" customFormat="false" ht="69.75" hidden="false" customHeight="true" outlineLevel="0" collapsed="false">
      <c r="A45" s="3" t="s">
        <v>277</v>
      </c>
      <c r="B45" s="18" t="s">
        <v>262</v>
      </c>
      <c r="C45" s="4" t="s">
        <v>17</v>
      </c>
      <c r="D45" s="16" t="s">
        <v>43</v>
      </c>
      <c r="E45" s="6" t="s">
        <v>278</v>
      </c>
      <c r="F45" s="7" t="s">
        <v>37</v>
      </c>
      <c r="G45" s="7" t="s">
        <v>279</v>
      </c>
      <c r="H45" s="7" t="s">
        <v>280</v>
      </c>
      <c r="I45" s="7" t="s">
        <v>281</v>
      </c>
      <c r="J45" s="8" t="n">
        <v>3</v>
      </c>
      <c r="K45" s="9" t="s">
        <v>82</v>
      </c>
      <c r="L45" s="7" t="s">
        <v>169</v>
      </c>
      <c r="M45" s="10" t="s">
        <v>26</v>
      </c>
      <c r="N45" s="7"/>
    </row>
    <row r="46" customFormat="false" ht="69.75" hidden="false" customHeight="true" outlineLevel="0" collapsed="false">
      <c r="A46" s="11" t="s">
        <v>282</v>
      </c>
      <c r="B46" s="11" t="s">
        <v>16</v>
      </c>
      <c r="C46" s="29" t="s">
        <v>283</v>
      </c>
      <c r="D46" s="5" t="s">
        <v>18</v>
      </c>
      <c r="E46" s="12" t="s">
        <v>284</v>
      </c>
      <c r="F46" s="13" t="s">
        <v>285</v>
      </c>
      <c r="G46" s="13" t="s">
        <v>286</v>
      </c>
      <c r="H46" s="13" t="s">
        <v>287</v>
      </c>
      <c r="I46" s="13" t="s">
        <v>288</v>
      </c>
      <c r="J46" s="14" t="n">
        <v>3</v>
      </c>
      <c r="K46" s="15" t="s">
        <v>289</v>
      </c>
      <c r="L46" s="13" t="s">
        <v>56</v>
      </c>
      <c r="M46" s="10" t="s">
        <v>26</v>
      </c>
      <c r="N46" s="13"/>
    </row>
    <row r="47" customFormat="false" ht="69.75" hidden="false" customHeight="true" outlineLevel="0" collapsed="false">
      <c r="A47" s="3" t="s">
        <v>290</v>
      </c>
      <c r="B47" s="20" t="s">
        <v>103</v>
      </c>
      <c r="C47" s="29" t="s">
        <v>283</v>
      </c>
      <c r="D47" s="22" t="s">
        <v>104</v>
      </c>
      <c r="E47" s="6" t="s">
        <v>291</v>
      </c>
      <c r="F47" s="7" t="s">
        <v>285</v>
      </c>
      <c r="G47" s="7" t="s">
        <v>292</v>
      </c>
      <c r="H47" s="7" t="s">
        <v>293</v>
      </c>
      <c r="I47" s="7" t="s">
        <v>294</v>
      </c>
      <c r="J47" s="8" t="n">
        <v>5</v>
      </c>
      <c r="K47" s="9" t="s">
        <v>289</v>
      </c>
      <c r="L47" s="7" t="s">
        <v>83</v>
      </c>
      <c r="M47" s="10" t="s">
        <v>26</v>
      </c>
      <c r="N47" s="7" t="s">
        <v>295</v>
      </c>
    </row>
    <row r="48" customFormat="false" ht="69.75" hidden="false" customHeight="true" outlineLevel="0" collapsed="false">
      <c r="A48" s="11" t="s">
        <v>296</v>
      </c>
      <c r="B48" s="23" t="s">
        <v>136</v>
      </c>
      <c r="C48" s="29" t="s">
        <v>283</v>
      </c>
      <c r="D48" s="5" t="s">
        <v>18</v>
      </c>
      <c r="E48" s="12" t="s">
        <v>297</v>
      </c>
      <c r="F48" s="13" t="s">
        <v>285</v>
      </c>
      <c r="G48" s="13" t="s">
        <v>298</v>
      </c>
      <c r="H48" s="13" t="s">
        <v>299</v>
      </c>
      <c r="I48" s="13" t="s">
        <v>300</v>
      </c>
      <c r="J48" s="14" t="n">
        <v>3</v>
      </c>
      <c r="K48" s="15" t="s">
        <v>289</v>
      </c>
      <c r="L48" s="13" t="s">
        <v>83</v>
      </c>
      <c r="M48" s="10" t="s">
        <v>26</v>
      </c>
      <c r="N48" s="13"/>
    </row>
    <row r="49" customFormat="false" ht="69.75" hidden="false" customHeight="true" outlineLevel="0" collapsed="false">
      <c r="A49" s="3" t="s">
        <v>301</v>
      </c>
      <c r="B49" s="26" t="s">
        <v>171</v>
      </c>
      <c r="C49" s="29" t="s">
        <v>283</v>
      </c>
      <c r="D49" s="5" t="s">
        <v>18</v>
      </c>
      <c r="E49" s="6" t="s">
        <v>302</v>
      </c>
      <c r="F49" s="7" t="s">
        <v>285</v>
      </c>
      <c r="G49" s="7" t="s">
        <v>303</v>
      </c>
      <c r="H49" s="7" t="s">
        <v>304</v>
      </c>
      <c r="I49" s="7" t="s">
        <v>305</v>
      </c>
      <c r="J49" s="8" t="n">
        <v>3</v>
      </c>
      <c r="K49" s="9" t="s">
        <v>289</v>
      </c>
      <c r="L49" s="7" t="s">
        <v>169</v>
      </c>
      <c r="M49" s="10" t="s">
        <v>26</v>
      </c>
      <c r="N49" s="7"/>
    </row>
    <row r="50" customFormat="false" ht="69.75" hidden="false" customHeight="true" outlineLevel="0" collapsed="false">
      <c r="A50" s="11" t="s">
        <v>306</v>
      </c>
      <c r="B50" s="15" t="s">
        <v>223</v>
      </c>
      <c r="C50" s="29" t="s">
        <v>283</v>
      </c>
      <c r="D50" s="16" t="s">
        <v>43</v>
      </c>
      <c r="E50" s="12" t="s">
        <v>307</v>
      </c>
      <c r="F50" s="13" t="s">
        <v>285</v>
      </c>
      <c r="G50" s="13" t="s">
        <v>308</v>
      </c>
      <c r="H50" s="13" t="s">
        <v>309</v>
      </c>
      <c r="I50" s="13" t="s">
        <v>310</v>
      </c>
      <c r="J50" s="14" t="n">
        <v>8</v>
      </c>
      <c r="K50" s="15" t="s">
        <v>289</v>
      </c>
      <c r="L50" s="13" t="s">
        <v>169</v>
      </c>
      <c r="M50" s="10" t="s">
        <v>26</v>
      </c>
      <c r="N50" s="13" t="s">
        <v>311</v>
      </c>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4" min="3" style="0" width="14"/>
    <col collapsed="false" customWidth="true" hidden="false" outlineLevel="0" max="5" min="5" style="0" width="13"/>
  </cols>
  <sheetData>
    <row r="1" customFormat="false" ht="27.75" hidden="false" customHeight="true" outlineLevel="0" collapsed="false">
      <c r="A1" s="30" t="s">
        <v>312</v>
      </c>
      <c r="B1" s="30"/>
      <c r="C1" s="30"/>
      <c r="D1" s="30"/>
      <c r="E1" s="30"/>
    </row>
    <row r="2" customFormat="false" ht="19.5" hidden="false" customHeight="true" outlineLevel="0" collapsed="false">
      <c r="A2" s="2" t="s">
        <v>313</v>
      </c>
      <c r="B2" s="2" t="s">
        <v>314</v>
      </c>
      <c r="C2" s="2" t="s">
        <v>315</v>
      </c>
      <c r="D2" s="2" t="s">
        <v>316</v>
      </c>
      <c r="E2" s="2" t="s">
        <v>317</v>
      </c>
    </row>
    <row r="3" customFormat="false" ht="21.75" hidden="false" customHeight="true" outlineLevel="0" collapsed="false">
      <c r="A3" s="31" t="s">
        <v>16</v>
      </c>
      <c r="B3" s="32" t="s">
        <v>318</v>
      </c>
      <c r="C3" s="33" t="s">
        <v>319</v>
      </c>
      <c r="D3" s="8" t="n">
        <v>6</v>
      </c>
      <c r="E3" s="34" t="n">
        <v>18</v>
      </c>
    </row>
    <row r="4" customFormat="false" ht="21.75" hidden="false" customHeight="true" outlineLevel="0" collapsed="false">
      <c r="A4" s="35" t="s">
        <v>59</v>
      </c>
      <c r="B4" s="36" t="s">
        <v>320</v>
      </c>
      <c r="C4" s="37" t="s">
        <v>321</v>
      </c>
      <c r="D4" s="14" t="n">
        <v>4</v>
      </c>
      <c r="E4" s="38" t="n">
        <v>10</v>
      </c>
    </row>
    <row r="5" customFormat="false" ht="21.75" hidden="false" customHeight="true" outlineLevel="0" collapsed="false">
      <c r="A5" s="39" t="s">
        <v>85</v>
      </c>
      <c r="B5" s="32" t="s">
        <v>322</v>
      </c>
      <c r="C5" s="40" t="s">
        <v>323</v>
      </c>
      <c r="D5" s="8" t="n">
        <v>3</v>
      </c>
      <c r="E5" s="34" t="n">
        <v>7</v>
      </c>
    </row>
    <row r="6" customFormat="false" ht="21.75" hidden="false" customHeight="true" outlineLevel="0" collapsed="false">
      <c r="A6" s="41" t="s">
        <v>103</v>
      </c>
      <c r="B6" s="36" t="s">
        <v>324</v>
      </c>
      <c r="C6" s="40" t="s">
        <v>323</v>
      </c>
      <c r="D6" s="14" t="n">
        <v>6</v>
      </c>
      <c r="E6" s="38" t="n">
        <v>28</v>
      </c>
    </row>
    <row r="7" customFormat="false" ht="21.75" hidden="false" customHeight="true" outlineLevel="0" collapsed="false">
      <c r="A7" s="42" t="s">
        <v>136</v>
      </c>
      <c r="B7" s="32" t="s">
        <v>325</v>
      </c>
      <c r="C7" s="43" t="s">
        <v>326</v>
      </c>
      <c r="D7" s="8" t="n">
        <v>7</v>
      </c>
      <c r="E7" s="34" t="n">
        <v>28</v>
      </c>
    </row>
    <row r="8" customFormat="false" ht="21.75" hidden="false" customHeight="true" outlineLevel="0" collapsed="false">
      <c r="A8" s="44" t="s">
        <v>171</v>
      </c>
      <c r="B8" s="36" t="s">
        <v>327</v>
      </c>
      <c r="C8" s="45" t="s">
        <v>328</v>
      </c>
      <c r="D8" s="14" t="n">
        <v>6</v>
      </c>
      <c r="E8" s="38" t="n">
        <v>20</v>
      </c>
    </row>
    <row r="9" customFormat="false" ht="21.75" hidden="false" customHeight="true" outlineLevel="0" collapsed="false">
      <c r="A9" s="46" t="s">
        <v>199</v>
      </c>
      <c r="B9" s="32" t="s">
        <v>329</v>
      </c>
      <c r="C9" s="47" t="s">
        <v>330</v>
      </c>
      <c r="D9" s="8" t="n">
        <v>4</v>
      </c>
      <c r="E9" s="34" t="n">
        <v>12</v>
      </c>
    </row>
    <row r="10" customFormat="false" ht="21.75" hidden="false" customHeight="true" outlineLevel="0" collapsed="false">
      <c r="A10" s="48" t="s">
        <v>223</v>
      </c>
      <c r="B10" s="36" t="s">
        <v>331</v>
      </c>
      <c r="C10" s="49" t="s">
        <v>332</v>
      </c>
      <c r="D10" s="14" t="n">
        <v>5</v>
      </c>
      <c r="E10" s="38" t="n">
        <v>24</v>
      </c>
    </row>
    <row r="11" customFormat="false" ht="21.75" hidden="false" customHeight="true" outlineLevel="0" collapsed="false">
      <c r="A11" s="42" t="s">
        <v>245</v>
      </c>
      <c r="B11" s="32" t="s">
        <v>333</v>
      </c>
      <c r="C11" s="43" t="s">
        <v>326</v>
      </c>
      <c r="D11" s="8" t="n">
        <v>3</v>
      </c>
      <c r="E11" s="34" t="n">
        <v>16</v>
      </c>
    </row>
    <row r="12" customFormat="false" ht="21.75" hidden="false" customHeight="true" outlineLevel="0" collapsed="false">
      <c r="A12" s="35" t="s">
        <v>262</v>
      </c>
      <c r="B12" s="36" t="s">
        <v>334</v>
      </c>
      <c r="C12" s="37" t="s">
        <v>321</v>
      </c>
      <c r="D12" s="14" t="n">
        <v>4</v>
      </c>
      <c r="E12" s="38" t="n">
        <v>16</v>
      </c>
    </row>
    <row r="13" customFormat="false" ht="21.75" hidden="false" customHeight="true" outlineLevel="0" collapsed="false">
      <c r="A13" s="50" t="s">
        <v>335</v>
      </c>
      <c r="B13" s="50" t="s">
        <v>336</v>
      </c>
      <c r="D13" s="51" t="n">
        <f aca="false">SUM(D3:D12)</f>
        <v>48</v>
      </c>
      <c r="E13" s="51" t="n">
        <f aca="false">SUM(E3:E12)</f>
        <v>179</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12"/>
    <col collapsed="false" customWidth="true" hidden="false" outlineLevel="0" max="4" min="4" style="0" width="24"/>
    <col collapsed="false" customWidth="true" hidden="false" outlineLevel="0" max="5" min="5" style="0" width="10"/>
    <col collapsed="false" customWidth="true" hidden="false" outlineLevel="0" max="6" min="6" style="0" width="12"/>
  </cols>
  <sheetData>
    <row r="1" customFormat="false" ht="27.75" hidden="false" customHeight="true" outlineLevel="0" collapsed="false">
      <c r="A1" s="30" t="s">
        <v>337</v>
      </c>
      <c r="B1" s="30"/>
      <c r="C1" s="30"/>
      <c r="D1" s="30"/>
      <c r="E1" s="30"/>
      <c r="F1" s="30"/>
    </row>
    <row r="2" customFormat="false" ht="19.5" hidden="false" customHeight="true" outlineLevel="0" collapsed="false">
      <c r="A2" s="2" t="s">
        <v>12</v>
      </c>
      <c r="B2" s="2" t="s">
        <v>338</v>
      </c>
      <c r="C2" s="2" t="s">
        <v>339</v>
      </c>
      <c r="D2" s="2" t="s">
        <v>340</v>
      </c>
      <c r="E2" s="2" t="s">
        <v>341</v>
      </c>
      <c r="F2" s="2" t="s">
        <v>317</v>
      </c>
    </row>
    <row r="3" customFormat="false" ht="39.75" hidden="false" customHeight="true" outlineLevel="0" collapsed="false">
      <c r="A3" s="52" t="s">
        <v>25</v>
      </c>
      <c r="B3" s="31" t="s">
        <v>342</v>
      </c>
      <c r="C3" s="32" t="s">
        <v>343</v>
      </c>
      <c r="D3" s="53" t="s">
        <v>344</v>
      </c>
      <c r="E3" s="54" t="n">
        <v>6</v>
      </c>
      <c r="F3" s="55" t="n">
        <v>23</v>
      </c>
    </row>
    <row r="4" customFormat="false" ht="39.75" hidden="false" customHeight="true" outlineLevel="0" collapsed="false">
      <c r="A4" s="56" t="s">
        <v>56</v>
      </c>
      <c r="B4" s="44" t="s">
        <v>345</v>
      </c>
      <c r="C4" s="36" t="s">
        <v>346</v>
      </c>
      <c r="D4" s="57" t="s">
        <v>347</v>
      </c>
      <c r="E4" s="58" t="n">
        <v>16</v>
      </c>
      <c r="F4" s="59" t="n">
        <v>68</v>
      </c>
    </row>
    <row r="5" customFormat="false" ht="39.75" hidden="false" customHeight="true" outlineLevel="0" collapsed="false">
      <c r="A5" s="60" t="s">
        <v>83</v>
      </c>
      <c r="B5" s="46" t="s">
        <v>348</v>
      </c>
      <c r="C5" s="32" t="s">
        <v>349</v>
      </c>
      <c r="D5" s="53" t="s">
        <v>350</v>
      </c>
      <c r="E5" s="54" t="n">
        <v>18</v>
      </c>
      <c r="F5" s="55" t="n">
        <v>60</v>
      </c>
    </row>
    <row r="6" customFormat="false" ht="39.75" hidden="false" customHeight="true" outlineLevel="0" collapsed="false">
      <c r="A6" s="61" t="s">
        <v>169</v>
      </c>
      <c r="B6" s="62" t="s">
        <v>351</v>
      </c>
      <c r="C6" s="36" t="s">
        <v>352</v>
      </c>
      <c r="D6" s="57" t="s">
        <v>353</v>
      </c>
      <c r="E6" s="58" t="n">
        <v>8</v>
      </c>
      <c r="F6" s="59" t="n">
        <v>28</v>
      </c>
    </row>
    <row r="8" customFormat="false" ht="21.75" hidden="false" customHeight="true" outlineLevel="0" collapsed="false">
      <c r="A8" s="63" t="s">
        <v>354</v>
      </c>
      <c r="B8" s="63"/>
      <c r="C8" s="63"/>
      <c r="D8" s="63"/>
      <c r="E8" s="63"/>
      <c r="F8" s="63"/>
    </row>
    <row r="9" customFormat="false" ht="18" hidden="false" customHeight="true" outlineLevel="0" collapsed="false">
      <c r="A9" s="64" t="s">
        <v>1</v>
      </c>
      <c r="B9" s="64" t="s">
        <v>5</v>
      </c>
      <c r="C9" s="64" t="s">
        <v>4</v>
      </c>
      <c r="D9" s="64" t="s">
        <v>11</v>
      </c>
      <c r="E9" s="64" t="s">
        <v>355</v>
      </c>
      <c r="F9" s="64" t="s">
        <v>12</v>
      </c>
    </row>
    <row r="10" customFormat="false" ht="15.75" hidden="false" customHeight="true" outlineLevel="0" collapsed="false">
      <c r="A10" s="65" t="s">
        <v>15</v>
      </c>
      <c r="B10" s="66" t="s">
        <v>19</v>
      </c>
      <c r="C10" s="5" t="s">
        <v>18</v>
      </c>
      <c r="D10" s="67" t="s">
        <v>24</v>
      </c>
      <c r="E10" s="68" t="n">
        <v>5</v>
      </c>
      <c r="F10" s="69" t="s">
        <v>25</v>
      </c>
    </row>
    <row r="11" customFormat="false" ht="15.75" hidden="false" customHeight="true" outlineLevel="0" collapsed="false">
      <c r="A11" s="70" t="s">
        <v>28</v>
      </c>
      <c r="B11" s="71" t="s">
        <v>29</v>
      </c>
      <c r="C11" s="5" t="s">
        <v>18</v>
      </c>
      <c r="D11" s="72" t="s">
        <v>24</v>
      </c>
      <c r="E11" s="73" t="n">
        <v>3</v>
      </c>
      <c r="F11" s="74" t="s">
        <v>25</v>
      </c>
    </row>
    <row r="12" customFormat="false" ht="15.75" hidden="false" customHeight="true" outlineLevel="0" collapsed="false">
      <c r="A12" s="65" t="s">
        <v>35</v>
      </c>
      <c r="B12" s="66" t="s">
        <v>36</v>
      </c>
      <c r="C12" s="5" t="s">
        <v>18</v>
      </c>
      <c r="D12" s="67" t="s">
        <v>24</v>
      </c>
      <c r="E12" s="68" t="n">
        <v>3</v>
      </c>
      <c r="F12" s="69" t="s">
        <v>25</v>
      </c>
    </row>
    <row r="13" customFormat="false" ht="15.75" hidden="false" customHeight="true" outlineLevel="0" collapsed="false">
      <c r="A13" s="70" t="s">
        <v>42</v>
      </c>
      <c r="B13" s="71" t="s">
        <v>44</v>
      </c>
      <c r="C13" s="16" t="s">
        <v>43</v>
      </c>
      <c r="D13" s="72" t="s">
        <v>24</v>
      </c>
      <c r="E13" s="73" t="n">
        <v>2</v>
      </c>
      <c r="F13" s="74" t="s">
        <v>25</v>
      </c>
    </row>
    <row r="14" customFormat="false" ht="15.75" hidden="false" customHeight="true" outlineLevel="0" collapsed="false">
      <c r="A14" s="65" t="s">
        <v>102</v>
      </c>
      <c r="B14" s="66" t="s">
        <v>105</v>
      </c>
      <c r="C14" s="22" t="s">
        <v>104</v>
      </c>
      <c r="D14" s="67" t="s">
        <v>55</v>
      </c>
      <c r="E14" s="68" t="n">
        <v>5</v>
      </c>
      <c r="F14" s="69" t="s">
        <v>25</v>
      </c>
    </row>
    <row r="15" customFormat="false" ht="15.75" hidden="false" customHeight="true" outlineLevel="0" collapsed="false">
      <c r="A15" s="70" t="s">
        <v>110</v>
      </c>
      <c r="B15" s="71" t="s">
        <v>111</v>
      </c>
      <c r="C15" s="22" t="s">
        <v>104</v>
      </c>
      <c r="D15" s="72" t="s">
        <v>55</v>
      </c>
      <c r="E15" s="73" t="n">
        <v>5</v>
      </c>
      <c r="F15" s="74" t="s">
        <v>25</v>
      </c>
    </row>
    <row r="16" customFormat="false" ht="15.75" hidden="false" customHeight="true" outlineLevel="0" collapsed="false">
      <c r="A16" s="65" t="s">
        <v>49</v>
      </c>
      <c r="B16" s="66" t="s">
        <v>50</v>
      </c>
      <c r="C16" s="16" t="s">
        <v>43</v>
      </c>
      <c r="D16" s="67" t="s">
        <v>55</v>
      </c>
      <c r="E16" s="68" t="n">
        <v>2</v>
      </c>
      <c r="F16" s="75" t="s">
        <v>56</v>
      </c>
    </row>
    <row r="17" customFormat="false" ht="15.75" hidden="false" customHeight="true" outlineLevel="0" collapsed="false">
      <c r="A17" s="70" t="s">
        <v>58</v>
      </c>
      <c r="B17" s="71" t="s">
        <v>60</v>
      </c>
      <c r="C17" s="5" t="s">
        <v>18</v>
      </c>
      <c r="D17" s="72" t="s">
        <v>64</v>
      </c>
      <c r="E17" s="73" t="n">
        <v>3</v>
      </c>
      <c r="F17" s="76" t="s">
        <v>56</v>
      </c>
    </row>
    <row r="18" customFormat="false" ht="15.75" hidden="false" customHeight="true" outlineLevel="0" collapsed="false">
      <c r="A18" s="65" t="s">
        <v>66</v>
      </c>
      <c r="B18" s="66" t="s">
        <v>67</v>
      </c>
      <c r="C18" s="5" t="s">
        <v>18</v>
      </c>
      <c r="D18" s="67" t="s">
        <v>64</v>
      </c>
      <c r="E18" s="68" t="n">
        <v>3</v>
      </c>
      <c r="F18" s="75" t="s">
        <v>56</v>
      </c>
    </row>
    <row r="19" customFormat="false" ht="15.75" hidden="false" customHeight="true" outlineLevel="0" collapsed="false">
      <c r="A19" s="70" t="s">
        <v>72</v>
      </c>
      <c r="B19" s="71" t="s">
        <v>73</v>
      </c>
      <c r="C19" s="16" t="s">
        <v>43</v>
      </c>
      <c r="D19" s="72" t="s">
        <v>64</v>
      </c>
      <c r="E19" s="73" t="n">
        <v>2</v>
      </c>
      <c r="F19" s="76" t="s">
        <v>56</v>
      </c>
    </row>
    <row r="20" customFormat="false" ht="15.75" hidden="false" customHeight="true" outlineLevel="0" collapsed="false">
      <c r="A20" s="65" t="s">
        <v>84</v>
      </c>
      <c r="B20" s="66" t="s">
        <v>86</v>
      </c>
      <c r="C20" s="5" t="s">
        <v>18</v>
      </c>
      <c r="D20" s="67" t="s">
        <v>64</v>
      </c>
      <c r="E20" s="68" t="n">
        <v>3</v>
      </c>
      <c r="F20" s="75" t="s">
        <v>56</v>
      </c>
    </row>
    <row r="21" customFormat="false" ht="15.75" hidden="false" customHeight="true" outlineLevel="0" collapsed="false">
      <c r="A21" s="70" t="s">
        <v>90</v>
      </c>
      <c r="B21" s="71" t="s">
        <v>91</v>
      </c>
      <c r="C21" s="5" t="s">
        <v>18</v>
      </c>
      <c r="D21" s="72" t="s">
        <v>64</v>
      </c>
      <c r="E21" s="73" t="n">
        <v>2</v>
      </c>
      <c r="F21" s="76" t="s">
        <v>56</v>
      </c>
    </row>
    <row r="22" customFormat="false" ht="15.75" hidden="false" customHeight="true" outlineLevel="0" collapsed="false">
      <c r="A22" s="65" t="s">
        <v>116</v>
      </c>
      <c r="B22" s="66" t="s">
        <v>117</v>
      </c>
      <c r="C22" s="5" t="s">
        <v>18</v>
      </c>
      <c r="D22" s="67" t="s">
        <v>55</v>
      </c>
      <c r="E22" s="68" t="n">
        <v>8</v>
      </c>
      <c r="F22" s="75" t="s">
        <v>56</v>
      </c>
    </row>
    <row r="23" customFormat="false" ht="15.75" hidden="false" customHeight="true" outlineLevel="0" collapsed="false">
      <c r="A23" s="70" t="s">
        <v>135</v>
      </c>
      <c r="B23" s="71" t="s">
        <v>137</v>
      </c>
      <c r="C23" s="22" t="s">
        <v>104</v>
      </c>
      <c r="D23" s="72" t="s">
        <v>55</v>
      </c>
      <c r="E23" s="73" t="n">
        <v>5</v>
      </c>
      <c r="F23" s="76" t="s">
        <v>56</v>
      </c>
    </row>
    <row r="24" customFormat="false" ht="15.75" hidden="false" customHeight="true" outlineLevel="0" collapsed="false">
      <c r="A24" s="65" t="s">
        <v>142</v>
      </c>
      <c r="B24" s="66" t="s">
        <v>143</v>
      </c>
      <c r="C24" s="22" t="s">
        <v>104</v>
      </c>
      <c r="D24" s="67" t="s">
        <v>55</v>
      </c>
      <c r="E24" s="68" t="n">
        <v>8</v>
      </c>
      <c r="F24" s="75" t="s">
        <v>56</v>
      </c>
    </row>
    <row r="25" customFormat="false" ht="15.75" hidden="false" customHeight="true" outlineLevel="0" collapsed="false">
      <c r="A25" s="70" t="s">
        <v>148</v>
      </c>
      <c r="B25" s="71" t="s">
        <v>149</v>
      </c>
      <c r="C25" s="5" t="s">
        <v>18</v>
      </c>
      <c r="D25" s="72" t="s">
        <v>55</v>
      </c>
      <c r="E25" s="73" t="n">
        <v>3</v>
      </c>
      <c r="F25" s="76" t="s">
        <v>56</v>
      </c>
    </row>
    <row r="26" customFormat="false" ht="15.75" hidden="false" customHeight="true" outlineLevel="0" collapsed="false">
      <c r="A26" s="65" t="s">
        <v>153</v>
      </c>
      <c r="B26" s="66" t="s">
        <v>154</v>
      </c>
      <c r="C26" s="5" t="s">
        <v>18</v>
      </c>
      <c r="D26" s="67" t="s">
        <v>55</v>
      </c>
      <c r="E26" s="68" t="n">
        <v>3</v>
      </c>
      <c r="F26" s="75" t="s">
        <v>56</v>
      </c>
    </row>
    <row r="27" customFormat="false" ht="15.75" hidden="false" customHeight="true" outlineLevel="0" collapsed="false">
      <c r="A27" s="70" t="s">
        <v>170</v>
      </c>
      <c r="B27" s="71" t="s">
        <v>172</v>
      </c>
      <c r="C27" s="5" t="s">
        <v>18</v>
      </c>
      <c r="D27" s="72" t="s">
        <v>64</v>
      </c>
      <c r="E27" s="73" t="n">
        <v>5</v>
      </c>
      <c r="F27" s="76" t="s">
        <v>56</v>
      </c>
    </row>
    <row r="28" customFormat="false" ht="15.75" hidden="false" customHeight="true" outlineLevel="0" collapsed="false">
      <c r="A28" s="65" t="s">
        <v>198</v>
      </c>
      <c r="B28" s="66" t="s">
        <v>200</v>
      </c>
      <c r="C28" s="5" t="s">
        <v>18</v>
      </c>
      <c r="D28" s="67" t="s">
        <v>64</v>
      </c>
      <c r="E28" s="68" t="n">
        <v>5</v>
      </c>
      <c r="F28" s="75" t="s">
        <v>56</v>
      </c>
    </row>
    <row r="29" customFormat="false" ht="15.75" hidden="false" customHeight="true" outlineLevel="0" collapsed="false">
      <c r="A29" s="70" t="s">
        <v>228</v>
      </c>
      <c r="B29" s="71" t="s">
        <v>229</v>
      </c>
      <c r="C29" s="5" t="s">
        <v>18</v>
      </c>
      <c r="D29" s="72" t="s">
        <v>128</v>
      </c>
      <c r="E29" s="73" t="n">
        <v>5</v>
      </c>
      <c r="F29" s="76" t="s">
        <v>56</v>
      </c>
    </row>
    <row r="30" customFormat="false" ht="15.75" hidden="false" customHeight="true" outlineLevel="0" collapsed="false">
      <c r="A30" s="65" t="s">
        <v>244</v>
      </c>
      <c r="B30" s="66" t="s">
        <v>246</v>
      </c>
      <c r="C30" s="5" t="s">
        <v>18</v>
      </c>
      <c r="D30" s="67" t="s">
        <v>82</v>
      </c>
      <c r="E30" s="68" t="n">
        <v>8</v>
      </c>
      <c r="F30" s="75" t="s">
        <v>56</v>
      </c>
    </row>
    <row r="31" customFormat="false" ht="15.75" hidden="false" customHeight="true" outlineLevel="0" collapsed="false">
      <c r="A31" s="70" t="s">
        <v>282</v>
      </c>
      <c r="B31" s="71" t="s">
        <v>284</v>
      </c>
      <c r="C31" s="5" t="s">
        <v>18</v>
      </c>
      <c r="D31" s="72" t="s">
        <v>289</v>
      </c>
      <c r="E31" s="73" t="n">
        <v>3</v>
      </c>
      <c r="F31" s="76" t="s">
        <v>56</v>
      </c>
    </row>
    <row r="32" customFormat="false" ht="15.75" hidden="false" customHeight="true" outlineLevel="0" collapsed="false">
      <c r="A32" s="65" t="s">
        <v>77</v>
      </c>
      <c r="B32" s="66" t="s">
        <v>78</v>
      </c>
      <c r="C32" s="16" t="s">
        <v>43</v>
      </c>
      <c r="D32" s="67" t="s">
        <v>82</v>
      </c>
      <c r="E32" s="68" t="n">
        <v>2</v>
      </c>
      <c r="F32" s="68" t="s">
        <v>83</v>
      </c>
    </row>
    <row r="33" customFormat="false" ht="15.75" hidden="false" customHeight="true" outlineLevel="0" collapsed="false">
      <c r="A33" s="70" t="s">
        <v>96</v>
      </c>
      <c r="B33" s="71" t="s">
        <v>98</v>
      </c>
      <c r="C33" s="21" t="s">
        <v>97</v>
      </c>
      <c r="D33" s="72" t="s">
        <v>82</v>
      </c>
      <c r="E33" s="73" t="n">
        <v>2</v>
      </c>
      <c r="F33" s="73" t="s">
        <v>83</v>
      </c>
    </row>
    <row r="34" customFormat="false" ht="15.75" hidden="false" customHeight="true" outlineLevel="0" collapsed="false">
      <c r="A34" s="65" t="s">
        <v>123</v>
      </c>
      <c r="B34" s="66" t="s">
        <v>124</v>
      </c>
      <c r="C34" s="16" t="s">
        <v>43</v>
      </c>
      <c r="D34" s="67" t="s">
        <v>128</v>
      </c>
      <c r="E34" s="68" t="n">
        <v>3</v>
      </c>
      <c r="F34" s="68" t="s">
        <v>83</v>
      </c>
    </row>
    <row r="35" customFormat="false" ht="15.75" hidden="false" customHeight="true" outlineLevel="0" collapsed="false">
      <c r="A35" s="70" t="s">
        <v>129</v>
      </c>
      <c r="B35" s="71" t="s">
        <v>130</v>
      </c>
      <c r="C35" s="16" t="s">
        <v>43</v>
      </c>
      <c r="D35" s="72" t="s">
        <v>55</v>
      </c>
      <c r="E35" s="73" t="n">
        <v>2</v>
      </c>
      <c r="F35" s="73" t="s">
        <v>83</v>
      </c>
    </row>
    <row r="36" customFormat="false" ht="15.75" hidden="false" customHeight="true" outlineLevel="0" collapsed="false">
      <c r="A36" s="65" t="s">
        <v>159</v>
      </c>
      <c r="B36" s="66" t="s">
        <v>160</v>
      </c>
      <c r="C36" s="16" t="s">
        <v>43</v>
      </c>
      <c r="D36" s="67" t="s">
        <v>82</v>
      </c>
      <c r="E36" s="68" t="n">
        <v>3</v>
      </c>
      <c r="F36" s="68" t="s">
        <v>83</v>
      </c>
    </row>
    <row r="37" customFormat="false" ht="15.75" hidden="false" customHeight="true" outlineLevel="0" collapsed="false">
      <c r="A37" s="70" t="s">
        <v>177</v>
      </c>
      <c r="B37" s="71" t="s">
        <v>178</v>
      </c>
      <c r="C37" s="5" t="s">
        <v>18</v>
      </c>
      <c r="D37" s="72" t="s">
        <v>64</v>
      </c>
      <c r="E37" s="73" t="n">
        <v>3</v>
      </c>
      <c r="F37" s="73" t="s">
        <v>83</v>
      </c>
    </row>
    <row r="38" customFormat="false" ht="15.75" hidden="false" customHeight="true" outlineLevel="0" collapsed="false">
      <c r="A38" s="65" t="s">
        <v>182</v>
      </c>
      <c r="B38" s="66" t="s">
        <v>183</v>
      </c>
      <c r="C38" s="5" t="s">
        <v>18</v>
      </c>
      <c r="D38" s="67" t="s">
        <v>64</v>
      </c>
      <c r="E38" s="68" t="n">
        <v>3</v>
      </c>
      <c r="F38" s="68" t="s">
        <v>83</v>
      </c>
    </row>
    <row r="39" customFormat="false" ht="15.75" hidden="false" customHeight="true" outlineLevel="0" collapsed="false">
      <c r="A39" s="70" t="s">
        <v>188</v>
      </c>
      <c r="B39" s="71" t="s">
        <v>189</v>
      </c>
      <c r="C39" s="16" t="s">
        <v>43</v>
      </c>
      <c r="D39" s="72" t="s">
        <v>82</v>
      </c>
      <c r="E39" s="73" t="n">
        <v>3</v>
      </c>
      <c r="F39" s="73" t="s">
        <v>83</v>
      </c>
    </row>
    <row r="40" customFormat="false" ht="15.75" hidden="false" customHeight="true" outlineLevel="0" collapsed="false">
      <c r="A40" s="65" t="s">
        <v>193</v>
      </c>
      <c r="B40" s="66" t="s">
        <v>194</v>
      </c>
      <c r="C40" s="16" t="s">
        <v>43</v>
      </c>
      <c r="D40" s="67" t="s">
        <v>128</v>
      </c>
      <c r="E40" s="68" t="n">
        <v>3</v>
      </c>
      <c r="F40" s="68" t="s">
        <v>83</v>
      </c>
    </row>
    <row r="41" customFormat="false" ht="15.75" hidden="false" customHeight="true" outlineLevel="0" collapsed="false">
      <c r="A41" s="70" t="s">
        <v>206</v>
      </c>
      <c r="B41" s="71" t="s">
        <v>207</v>
      </c>
      <c r="C41" s="5" t="s">
        <v>18</v>
      </c>
      <c r="D41" s="72" t="s">
        <v>64</v>
      </c>
      <c r="E41" s="73" t="n">
        <v>3</v>
      </c>
      <c r="F41" s="73" t="s">
        <v>83</v>
      </c>
    </row>
    <row r="42" customFormat="false" ht="15.75" hidden="false" customHeight="true" outlineLevel="0" collapsed="false">
      <c r="A42" s="65" t="s">
        <v>217</v>
      </c>
      <c r="B42" s="66" t="s">
        <v>218</v>
      </c>
      <c r="C42" s="16" t="s">
        <v>43</v>
      </c>
      <c r="D42" s="67" t="s">
        <v>82</v>
      </c>
      <c r="E42" s="68" t="n">
        <v>2</v>
      </c>
      <c r="F42" s="68" t="s">
        <v>83</v>
      </c>
    </row>
    <row r="43" customFormat="false" ht="15.75" hidden="false" customHeight="true" outlineLevel="0" collapsed="false">
      <c r="A43" s="70" t="s">
        <v>222</v>
      </c>
      <c r="B43" s="71" t="s">
        <v>224</v>
      </c>
      <c r="C43" s="5" t="s">
        <v>18</v>
      </c>
      <c r="D43" s="72" t="s">
        <v>128</v>
      </c>
      <c r="E43" s="73" t="n">
        <v>5</v>
      </c>
      <c r="F43" s="73" t="s">
        <v>83</v>
      </c>
    </row>
    <row r="44" customFormat="false" ht="15.75" hidden="false" customHeight="true" outlineLevel="0" collapsed="false">
      <c r="A44" s="65" t="s">
        <v>251</v>
      </c>
      <c r="B44" s="66" t="s">
        <v>252</v>
      </c>
      <c r="C44" s="5" t="s">
        <v>18</v>
      </c>
      <c r="D44" s="67" t="s">
        <v>82</v>
      </c>
      <c r="E44" s="68" t="n">
        <v>5</v>
      </c>
      <c r="F44" s="68" t="s">
        <v>83</v>
      </c>
    </row>
    <row r="45" customFormat="false" ht="15.75" hidden="false" customHeight="true" outlineLevel="0" collapsed="false">
      <c r="A45" s="70" t="s">
        <v>256</v>
      </c>
      <c r="B45" s="71" t="s">
        <v>257</v>
      </c>
      <c r="C45" s="16" t="s">
        <v>43</v>
      </c>
      <c r="D45" s="72" t="s">
        <v>82</v>
      </c>
      <c r="E45" s="73" t="n">
        <v>3</v>
      </c>
      <c r="F45" s="73" t="s">
        <v>83</v>
      </c>
    </row>
    <row r="46" customFormat="false" ht="15.75" hidden="false" customHeight="true" outlineLevel="0" collapsed="false">
      <c r="A46" s="65" t="s">
        <v>261</v>
      </c>
      <c r="B46" s="66" t="s">
        <v>263</v>
      </c>
      <c r="C46" s="5" t="s">
        <v>18</v>
      </c>
      <c r="D46" s="67" t="s">
        <v>82</v>
      </c>
      <c r="E46" s="68" t="n">
        <v>5</v>
      </c>
      <c r="F46" s="68" t="s">
        <v>83</v>
      </c>
    </row>
    <row r="47" customFormat="false" ht="15.75" hidden="false" customHeight="true" outlineLevel="0" collapsed="false">
      <c r="A47" s="70" t="s">
        <v>267</v>
      </c>
      <c r="B47" s="71" t="s">
        <v>268</v>
      </c>
      <c r="C47" s="5" t="s">
        <v>18</v>
      </c>
      <c r="D47" s="72" t="s">
        <v>82</v>
      </c>
      <c r="E47" s="73" t="n">
        <v>5</v>
      </c>
      <c r="F47" s="73" t="s">
        <v>83</v>
      </c>
    </row>
    <row r="48" customFormat="false" ht="15.75" hidden="false" customHeight="true" outlineLevel="0" collapsed="false">
      <c r="A48" s="65" t="s">
        <v>290</v>
      </c>
      <c r="B48" s="66" t="s">
        <v>291</v>
      </c>
      <c r="C48" s="22" t="s">
        <v>104</v>
      </c>
      <c r="D48" s="67" t="s">
        <v>289</v>
      </c>
      <c r="E48" s="68" t="n">
        <v>5</v>
      </c>
      <c r="F48" s="68" t="s">
        <v>83</v>
      </c>
    </row>
    <row r="49" customFormat="false" ht="15.75" hidden="false" customHeight="true" outlineLevel="0" collapsed="false">
      <c r="A49" s="70" t="s">
        <v>296</v>
      </c>
      <c r="B49" s="71" t="s">
        <v>297</v>
      </c>
      <c r="C49" s="5" t="s">
        <v>18</v>
      </c>
      <c r="D49" s="72" t="s">
        <v>289</v>
      </c>
      <c r="E49" s="73" t="n">
        <v>3</v>
      </c>
      <c r="F49" s="73" t="s">
        <v>83</v>
      </c>
    </row>
    <row r="50" customFormat="false" ht="15.75" hidden="false" customHeight="true" outlineLevel="0" collapsed="false">
      <c r="A50" s="65" t="s">
        <v>164</v>
      </c>
      <c r="B50" s="66" t="s">
        <v>165</v>
      </c>
      <c r="C50" s="16" t="s">
        <v>43</v>
      </c>
      <c r="D50" s="67" t="s">
        <v>82</v>
      </c>
      <c r="E50" s="68" t="n">
        <v>3</v>
      </c>
      <c r="F50" s="77" t="s">
        <v>169</v>
      </c>
    </row>
    <row r="51" customFormat="false" ht="15.75" hidden="false" customHeight="true" outlineLevel="0" collapsed="false">
      <c r="A51" s="70" t="s">
        <v>212</v>
      </c>
      <c r="B51" s="71" t="s">
        <v>213</v>
      </c>
      <c r="C51" s="16" t="s">
        <v>43</v>
      </c>
      <c r="D51" s="72" t="s">
        <v>64</v>
      </c>
      <c r="E51" s="73" t="n">
        <v>2</v>
      </c>
      <c r="F51" s="78" t="s">
        <v>169</v>
      </c>
    </row>
    <row r="52" customFormat="false" ht="15.75" hidden="false" customHeight="true" outlineLevel="0" collapsed="false">
      <c r="A52" s="65" t="s">
        <v>234</v>
      </c>
      <c r="B52" s="66" t="s">
        <v>235</v>
      </c>
      <c r="C52" s="16" t="s">
        <v>43</v>
      </c>
      <c r="D52" s="67" t="s">
        <v>128</v>
      </c>
      <c r="E52" s="68" t="n">
        <v>3</v>
      </c>
      <c r="F52" s="77" t="s">
        <v>169</v>
      </c>
    </row>
    <row r="53" customFormat="false" ht="15.75" hidden="false" customHeight="true" outlineLevel="0" collapsed="false">
      <c r="A53" s="70" t="s">
        <v>239</v>
      </c>
      <c r="B53" s="71" t="s">
        <v>240</v>
      </c>
      <c r="C53" s="16" t="s">
        <v>43</v>
      </c>
      <c r="D53" s="72" t="s">
        <v>128</v>
      </c>
      <c r="E53" s="73" t="n">
        <v>3</v>
      </c>
      <c r="F53" s="78" t="s">
        <v>169</v>
      </c>
    </row>
    <row r="54" customFormat="false" ht="15.75" hidden="false" customHeight="true" outlineLevel="0" collapsed="false">
      <c r="A54" s="65" t="s">
        <v>272</v>
      </c>
      <c r="B54" s="66" t="s">
        <v>273</v>
      </c>
      <c r="C54" s="16" t="s">
        <v>43</v>
      </c>
      <c r="D54" s="67" t="s">
        <v>82</v>
      </c>
      <c r="E54" s="68" t="n">
        <v>3</v>
      </c>
      <c r="F54" s="77" t="s">
        <v>169</v>
      </c>
    </row>
    <row r="55" customFormat="false" ht="15.75" hidden="false" customHeight="true" outlineLevel="0" collapsed="false">
      <c r="A55" s="70" t="s">
        <v>277</v>
      </c>
      <c r="B55" s="71" t="s">
        <v>278</v>
      </c>
      <c r="C55" s="16" t="s">
        <v>43</v>
      </c>
      <c r="D55" s="72" t="s">
        <v>82</v>
      </c>
      <c r="E55" s="73" t="n">
        <v>3</v>
      </c>
      <c r="F55" s="78" t="s">
        <v>169</v>
      </c>
    </row>
    <row r="56" customFormat="false" ht="15.75" hidden="false" customHeight="true" outlineLevel="0" collapsed="false">
      <c r="A56" s="65" t="s">
        <v>301</v>
      </c>
      <c r="B56" s="66" t="s">
        <v>302</v>
      </c>
      <c r="C56" s="5" t="s">
        <v>18</v>
      </c>
      <c r="D56" s="67" t="s">
        <v>289</v>
      </c>
      <c r="E56" s="68" t="n">
        <v>3</v>
      </c>
      <c r="F56" s="77" t="s">
        <v>169</v>
      </c>
    </row>
    <row r="57" customFormat="false" ht="15.75" hidden="false" customHeight="true" outlineLevel="0" collapsed="false">
      <c r="A57" s="70" t="s">
        <v>306</v>
      </c>
      <c r="B57" s="71" t="s">
        <v>307</v>
      </c>
      <c r="C57" s="16" t="s">
        <v>43</v>
      </c>
      <c r="D57" s="72" t="s">
        <v>289</v>
      </c>
      <c r="E57" s="73" t="n">
        <v>8</v>
      </c>
      <c r="F57" s="78" t="s">
        <v>169</v>
      </c>
    </row>
  </sheetData>
  <mergeCells count="2">
    <mergeCell ref="A1:F1"/>
    <mergeCell ref="A8:F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2"/>
    <col collapsed="false" customWidth="true" hidden="false" outlineLevel="0" max="3" min="3" style="0" width="22"/>
    <col collapsed="false" customWidth="true" hidden="false" outlineLevel="0" max="4" min="4" style="0" width="12"/>
    <col collapsed="false" customWidth="true" hidden="false" outlineLevel="0" max="5" min="5" style="0" width="10"/>
    <col collapsed="false" customWidth="true" hidden="false" outlineLevel="0" max="6" min="6" style="0" width="24"/>
  </cols>
  <sheetData>
    <row r="1" customFormat="false" ht="27.75" hidden="false" customHeight="true" outlineLevel="0" collapsed="false">
      <c r="A1" s="30" t="s">
        <v>356</v>
      </c>
      <c r="B1" s="30"/>
      <c r="C1" s="30"/>
      <c r="D1" s="30"/>
      <c r="E1" s="30"/>
      <c r="F1" s="30"/>
    </row>
    <row r="2" customFormat="false" ht="19.5" hidden="false" customHeight="true" outlineLevel="0" collapsed="false">
      <c r="A2" s="2" t="s">
        <v>357</v>
      </c>
      <c r="B2" s="2" t="s">
        <v>358</v>
      </c>
      <c r="C2" s="2" t="s">
        <v>359</v>
      </c>
      <c r="D2" s="2" t="s">
        <v>360</v>
      </c>
      <c r="E2" s="2" t="s">
        <v>316</v>
      </c>
      <c r="F2" s="2" t="s">
        <v>317</v>
      </c>
    </row>
    <row r="3" customFormat="false" ht="36" hidden="false" customHeight="true" outlineLevel="0" collapsed="false">
      <c r="A3" s="79" t="s">
        <v>361</v>
      </c>
      <c r="B3" s="31" t="s">
        <v>362</v>
      </c>
      <c r="C3" s="53" t="s">
        <v>363</v>
      </c>
      <c r="D3" s="80" t="s">
        <v>364</v>
      </c>
      <c r="E3" s="54" t="n">
        <v>5</v>
      </c>
      <c r="F3" s="55" t="n">
        <v>15</v>
      </c>
    </row>
    <row r="4" customFormat="false" ht="36" hidden="false" customHeight="true" outlineLevel="0" collapsed="false">
      <c r="A4" s="81" t="s">
        <v>365</v>
      </c>
      <c r="B4" s="82" t="s">
        <v>366</v>
      </c>
      <c r="C4" s="57" t="s">
        <v>367</v>
      </c>
      <c r="D4" s="83" t="s">
        <v>368</v>
      </c>
      <c r="E4" s="58" t="n">
        <v>10</v>
      </c>
      <c r="F4" s="59" t="n">
        <v>45</v>
      </c>
    </row>
    <row r="5" customFormat="false" ht="36" hidden="false" customHeight="true" outlineLevel="0" collapsed="false">
      <c r="A5" s="84" t="s">
        <v>369</v>
      </c>
      <c r="B5" s="39" t="s">
        <v>370</v>
      </c>
      <c r="C5" s="53" t="s">
        <v>371</v>
      </c>
      <c r="D5" s="80" t="s">
        <v>372</v>
      </c>
      <c r="E5" s="54" t="n">
        <v>11</v>
      </c>
      <c r="F5" s="55" t="n">
        <v>34</v>
      </c>
    </row>
    <row r="6" customFormat="false" ht="36" hidden="false" customHeight="true" outlineLevel="0" collapsed="false">
      <c r="A6" s="85" t="s">
        <v>373</v>
      </c>
      <c r="B6" s="48" t="s">
        <v>374</v>
      </c>
      <c r="C6" s="57" t="s">
        <v>375</v>
      </c>
      <c r="D6" s="83" t="s">
        <v>372</v>
      </c>
      <c r="E6" s="58" t="n">
        <v>4</v>
      </c>
      <c r="F6" s="59" t="n">
        <v>16</v>
      </c>
    </row>
    <row r="7" customFormat="false" ht="36" hidden="false" customHeight="true" outlineLevel="0" collapsed="false">
      <c r="A7" s="86" t="s">
        <v>376</v>
      </c>
      <c r="B7" s="42" t="s">
        <v>377</v>
      </c>
      <c r="C7" s="53" t="s">
        <v>378</v>
      </c>
      <c r="D7" s="80" t="s">
        <v>372</v>
      </c>
      <c r="E7" s="54" t="n">
        <v>12</v>
      </c>
      <c r="F7" s="55" t="n">
        <v>44</v>
      </c>
    </row>
    <row r="8" customFormat="false" ht="36" hidden="false" customHeight="true" outlineLevel="0" collapsed="false">
      <c r="A8" s="87" t="s">
        <v>379</v>
      </c>
      <c r="B8" s="35" t="s">
        <v>380</v>
      </c>
      <c r="C8" s="57" t="s">
        <v>381</v>
      </c>
      <c r="D8" s="83" t="s">
        <v>372</v>
      </c>
      <c r="E8" s="58" t="n">
        <v>5</v>
      </c>
      <c r="F8" s="59" t="n">
        <v>22</v>
      </c>
    </row>
    <row r="10" customFormat="false" ht="21.75" hidden="false" customHeight="true" outlineLevel="0" collapsed="false">
      <c r="A10" s="63" t="s">
        <v>382</v>
      </c>
      <c r="B10" s="63"/>
      <c r="C10" s="63"/>
      <c r="D10" s="63"/>
      <c r="E10" s="63"/>
      <c r="F10" s="63"/>
    </row>
    <row r="11" customFormat="false" ht="18" hidden="false" customHeight="true" outlineLevel="0" collapsed="false">
      <c r="A11" s="64" t="s">
        <v>1</v>
      </c>
      <c r="B11" s="64" t="s">
        <v>5</v>
      </c>
      <c r="C11" s="64" t="s">
        <v>2</v>
      </c>
      <c r="D11" s="64" t="s">
        <v>4</v>
      </c>
      <c r="E11" s="64" t="s">
        <v>355</v>
      </c>
      <c r="F11" s="64" t="s">
        <v>11</v>
      </c>
    </row>
    <row r="12" customFormat="false" ht="15.75" hidden="false" customHeight="true" outlineLevel="0" collapsed="false">
      <c r="A12" s="65" t="s">
        <v>15</v>
      </c>
      <c r="B12" s="66" t="s">
        <v>19</v>
      </c>
      <c r="C12" s="88" t="s">
        <v>383</v>
      </c>
      <c r="D12" s="5" t="s">
        <v>18</v>
      </c>
      <c r="E12" s="68" t="n">
        <v>5</v>
      </c>
      <c r="F12" s="65" t="s">
        <v>24</v>
      </c>
    </row>
    <row r="13" customFormat="false" ht="15.75" hidden="false" customHeight="true" outlineLevel="0" collapsed="false">
      <c r="A13" s="70" t="s">
        <v>28</v>
      </c>
      <c r="B13" s="71" t="s">
        <v>29</v>
      </c>
      <c r="C13" s="89" t="s">
        <v>383</v>
      </c>
      <c r="D13" s="5" t="s">
        <v>18</v>
      </c>
      <c r="E13" s="73" t="n">
        <v>3</v>
      </c>
      <c r="F13" s="70" t="s">
        <v>24</v>
      </c>
    </row>
    <row r="14" customFormat="false" ht="15.75" hidden="false" customHeight="true" outlineLevel="0" collapsed="false">
      <c r="A14" s="65" t="s">
        <v>35</v>
      </c>
      <c r="B14" s="66" t="s">
        <v>36</v>
      </c>
      <c r="C14" s="88" t="s">
        <v>383</v>
      </c>
      <c r="D14" s="5" t="s">
        <v>18</v>
      </c>
      <c r="E14" s="68" t="n">
        <v>3</v>
      </c>
      <c r="F14" s="65" t="s">
        <v>24</v>
      </c>
    </row>
    <row r="15" customFormat="false" ht="15.75" hidden="false" customHeight="true" outlineLevel="0" collapsed="false">
      <c r="A15" s="70" t="s">
        <v>42</v>
      </c>
      <c r="B15" s="71" t="s">
        <v>44</v>
      </c>
      <c r="C15" s="89" t="s">
        <v>383</v>
      </c>
      <c r="D15" s="16" t="s">
        <v>43</v>
      </c>
      <c r="E15" s="73" t="n">
        <v>2</v>
      </c>
      <c r="F15" s="70" t="s">
        <v>24</v>
      </c>
    </row>
    <row r="16" customFormat="false" ht="15.75" hidden="false" customHeight="true" outlineLevel="0" collapsed="false">
      <c r="A16" s="65" t="s">
        <v>49</v>
      </c>
      <c r="B16" s="66" t="s">
        <v>50</v>
      </c>
      <c r="C16" s="88" t="s">
        <v>383</v>
      </c>
      <c r="D16" s="16" t="s">
        <v>43</v>
      </c>
      <c r="E16" s="68" t="n">
        <v>2</v>
      </c>
      <c r="F16" s="90" t="s">
        <v>55</v>
      </c>
    </row>
    <row r="17" customFormat="false" ht="15.75" hidden="false" customHeight="true" outlineLevel="0" collapsed="false">
      <c r="A17" s="70" t="s">
        <v>102</v>
      </c>
      <c r="B17" s="71" t="s">
        <v>105</v>
      </c>
      <c r="C17" s="91" t="s">
        <v>384</v>
      </c>
      <c r="D17" s="22" t="s">
        <v>104</v>
      </c>
      <c r="E17" s="73" t="n">
        <v>5</v>
      </c>
      <c r="F17" s="92" t="s">
        <v>55</v>
      </c>
    </row>
    <row r="18" customFormat="false" ht="15.75" hidden="false" customHeight="true" outlineLevel="0" collapsed="false">
      <c r="A18" s="65" t="s">
        <v>110</v>
      </c>
      <c r="B18" s="66" t="s">
        <v>111</v>
      </c>
      <c r="C18" s="93" t="s">
        <v>384</v>
      </c>
      <c r="D18" s="22" t="s">
        <v>104</v>
      </c>
      <c r="E18" s="68" t="n">
        <v>5</v>
      </c>
      <c r="F18" s="90" t="s">
        <v>55</v>
      </c>
    </row>
    <row r="19" customFormat="false" ht="15.75" hidden="false" customHeight="true" outlineLevel="0" collapsed="false">
      <c r="A19" s="70" t="s">
        <v>116</v>
      </c>
      <c r="B19" s="71" t="s">
        <v>117</v>
      </c>
      <c r="C19" s="91" t="s">
        <v>384</v>
      </c>
      <c r="D19" s="5" t="s">
        <v>18</v>
      </c>
      <c r="E19" s="73" t="n">
        <v>8</v>
      </c>
      <c r="F19" s="92" t="s">
        <v>55</v>
      </c>
    </row>
    <row r="20" customFormat="false" ht="15.75" hidden="false" customHeight="true" outlineLevel="0" collapsed="false">
      <c r="A20" s="65" t="s">
        <v>129</v>
      </c>
      <c r="B20" s="66" t="s">
        <v>130</v>
      </c>
      <c r="C20" s="93" t="s">
        <v>384</v>
      </c>
      <c r="D20" s="16" t="s">
        <v>43</v>
      </c>
      <c r="E20" s="68" t="n">
        <v>2</v>
      </c>
      <c r="F20" s="90" t="s">
        <v>55</v>
      </c>
    </row>
    <row r="21" customFormat="false" ht="15.75" hidden="false" customHeight="true" outlineLevel="0" collapsed="false">
      <c r="A21" s="70" t="s">
        <v>135</v>
      </c>
      <c r="B21" s="71" t="s">
        <v>137</v>
      </c>
      <c r="C21" s="94" t="s">
        <v>385</v>
      </c>
      <c r="D21" s="22" t="s">
        <v>104</v>
      </c>
      <c r="E21" s="73" t="n">
        <v>5</v>
      </c>
      <c r="F21" s="92" t="s">
        <v>55</v>
      </c>
    </row>
    <row r="22" customFormat="false" ht="15.75" hidden="false" customHeight="true" outlineLevel="0" collapsed="false">
      <c r="A22" s="65" t="s">
        <v>142</v>
      </c>
      <c r="B22" s="66" t="s">
        <v>143</v>
      </c>
      <c r="C22" s="95" t="s">
        <v>385</v>
      </c>
      <c r="D22" s="22" t="s">
        <v>104</v>
      </c>
      <c r="E22" s="68" t="n">
        <v>8</v>
      </c>
      <c r="F22" s="90" t="s">
        <v>55</v>
      </c>
    </row>
    <row r="23" customFormat="false" ht="15.75" hidden="false" customHeight="true" outlineLevel="0" collapsed="false">
      <c r="A23" s="70" t="s">
        <v>148</v>
      </c>
      <c r="B23" s="71" t="s">
        <v>149</v>
      </c>
      <c r="C23" s="94" t="s">
        <v>385</v>
      </c>
      <c r="D23" s="5" t="s">
        <v>18</v>
      </c>
      <c r="E23" s="73" t="n">
        <v>3</v>
      </c>
      <c r="F23" s="92" t="s">
        <v>55</v>
      </c>
    </row>
    <row r="24" customFormat="false" ht="15.75" hidden="false" customHeight="true" outlineLevel="0" collapsed="false">
      <c r="A24" s="65" t="s">
        <v>153</v>
      </c>
      <c r="B24" s="66" t="s">
        <v>154</v>
      </c>
      <c r="C24" s="95" t="s">
        <v>385</v>
      </c>
      <c r="D24" s="5" t="s">
        <v>18</v>
      </c>
      <c r="E24" s="68" t="n">
        <v>3</v>
      </c>
      <c r="F24" s="90" t="s">
        <v>55</v>
      </c>
    </row>
    <row r="25" customFormat="false" ht="15.75" hidden="false" customHeight="true" outlineLevel="0" collapsed="false">
      <c r="A25" s="70" t="s">
        <v>58</v>
      </c>
      <c r="B25" s="71" t="s">
        <v>60</v>
      </c>
      <c r="C25" s="96" t="s">
        <v>386</v>
      </c>
      <c r="D25" s="5" t="s">
        <v>18</v>
      </c>
      <c r="E25" s="73" t="n">
        <v>3</v>
      </c>
      <c r="F25" s="97" t="s">
        <v>64</v>
      </c>
    </row>
    <row r="26" customFormat="false" ht="15.75" hidden="false" customHeight="true" outlineLevel="0" collapsed="false">
      <c r="A26" s="65" t="s">
        <v>66</v>
      </c>
      <c r="B26" s="66" t="s">
        <v>67</v>
      </c>
      <c r="C26" s="98" t="s">
        <v>386</v>
      </c>
      <c r="D26" s="5" t="s">
        <v>18</v>
      </c>
      <c r="E26" s="68" t="n">
        <v>3</v>
      </c>
      <c r="F26" s="99" t="s">
        <v>64</v>
      </c>
    </row>
    <row r="27" customFormat="false" ht="15.75" hidden="false" customHeight="true" outlineLevel="0" collapsed="false">
      <c r="A27" s="70" t="s">
        <v>72</v>
      </c>
      <c r="B27" s="71" t="s">
        <v>73</v>
      </c>
      <c r="C27" s="96" t="s">
        <v>386</v>
      </c>
      <c r="D27" s="16" t="s">
        <v>43</v>
      </c>
      <c r="E27" s="73" t="n">
        <v>2</v>
      </c>
      <c r="F27" s="97" t="s">
        <v>64</v>
      </c>
    </row>
    <row r="28" customFormat="false" ht="15.75" hidden="false" customHeight="true" outlineLevel="0" collapsed="false">
      <c r="A28" s="65" t="s">
        <v>84</v>
      </c>
      <c r="B28" s="66" t="s">
        <v>86</v>
      </c>
      <c r="C28" s="93" t="s">
        <v>387</v>
      </c>
      <c r="D28" s="5" t="s">
        <v>18</v>
      </c>
      <c r="E28" s="68" t="n">
        <v>3</v>
      </c>
      <c r="F28" s="99" t="s">
        <v>64</v>
      </c>
    </row>
    <row r="29" customFormat="false" ht="15.75" hidden="false" customHeight="true" outlineLevel="0" collapsed="false">
      <c r="A29" s="70" t="s">
        <v>90</v>
      </c>
      <c r="B29" s="71" t="s">
        <v>91</v>
      </c>
      <c r="C29" s="91" t="s">
        <v>387</v>
      </c>
      <c r="D29" s="5" t="s">
        <v>18</v>
      </c>
      <c r="E29" s="73" t="n">
        <v>2</v>
      </c>
      <c r="F29" s="97" t="s">
        <v>64</v>
      </c>
    </row>
    <row r="30" customFormat="false" ht="15.75" hidden="false" customHeight="true" outlineLevel="0" collapsed="false">
      <c r="A30" s="65" t="s">
        <v>170</v>
      </c>
      <c r="B30" s="66" t="s">
        <v>172</v>
      </c>
      <c r="C30" s="100" t="s">
        <v>388</v>
      </c>
      <c r="D30" s="5" t="s">
        <v>18</v>
      </c>
      <c r="E30" s="68" t="n">
        <v>5</v>
      </c>
      <c r="F30" s="99" t="s">
        <v>64</v>
      </c>
    </row>
    <row r="31" customFormat="false" ht="15.75" hidden="false" customHeight="true" outlineLevel="0" collapsed="false">
      <c r="A31" s="70" t="s">
        <v>177</v>
      </c>
      <c r="B31" s="71" t="s">
        <v>178</v>
      </c>
      <c r="C31" s="101" t="s">
        <v>388</v>
      </c>
      <c r="D31" s="5" t="s">
        <v>18</v>
      </c>
      <c r="E31" s="73" t="n">
        <v>3</v>
      </c>
      <c r="F31" s="97" t="s">
        <v>64</v>
      </c>
    </row>
    <row r="32" customFormat="false" ht="15.75" hidden="false" customHeight="true" outlineLevel="0" collapsed="false">
      <c r="A32" s="65" t="s">
        <v>182</v>
      </c>
      <c r="B32" s="66" t="s">
        <v>183</v>
      </c>
      <c r="C32" s="100" t="s">
        <v>388</v>
      </c>
      <c r="D32" s="5" t="s">
        <v>18</v>
      </c>
      <c r="E32" s="68" t="n">
        <v>3</v>
      </c>
      <c r="F32" s="99" t="s">
        <v>64</v>
      </c>
    </row>
    <row r="33" customFormat="false" ht="15.75" hidden="false" customHeight="true" outlineLevel="0" collapsed="false">
      <c r="A33" s="70" t="s">
        <v>198</v>
      </c>
      <c r="B33" s="71" t="s">
        <v>200</v>
      </c>
      <c r="C33" s="102" t="s">
        <v>389</v>
      </c>
      <c r="D33" s="5" t="s">
        <v>18</v>
      </c>
      <c r="E33" s="73" t="n">
        <v>5</v>
      </c>
      <c r="F33" s="97" t="s">
        <v>64</v>
      </c>
    </row>
    <row r="34" customFormat="false" ht="15.75" hidden="false" customHeight="true" outlineLevel="0" collapsed="false">
      <c r="A34" s="65" t="s">
        <v>206</v>
      </c>
      <c r="B34" s="66" t="s">
        <v>207</v>
      </c>
      <c r="C34" s="103" t="s">
        <v>389</v>
      </c>
      <c r="D34" s="5" t="s">
        <v>18</v>
      </c>
      <c r="E34" s="68" t="n">
        <v>3</v>
      </c>
      <c r="F34" s="99" t="s">
        <v>64</v>
      </c>
    </row>
    <row r="35" customFormat="false" ht="15.75" hidden="false" customHeight="true" outlineLevel="0" collapsed="false">
      <c r="A35" s="70" t="s">
        <v>212</v>
      </c>
      <c r="B35" s="71" t="s">
        <v>213</v>
      </c>
      <c r="C35" s="102" t="s">
        <v>389</v>
      </c>
      <c r="D35" s="16" t="s">
        <v>43</v>
      </c>
      <c r="E35" s="73" t="n">
        <v>2</v>
      </c>
      <c r="F35" s="97" t="s">
        <v>64</v>
      </c>
    </row>
    <row r="36" customFormat="false" ht="15.75" hidden="false" customHeight="true" outlineLevel="0" collapsed="false">
      <c r="A36" s="65" t="s">
        <v>123</v>
      </c>
      <c r="B36" s="66" t="s">
        <v>124</v>
      </c>
      <c r="C36" s="93" t="s">
        <v>384</v>
      </c>
      <c r="D36" s="16" t="s">
        <v>43</v>
      </c>
      <c r="E36" s="68" t="n">
        <v>3</v>
      </c>
      <c r="F36" s="67" t="s">
        <v>128</v>
      </c>
    </row>
    <row r="37" customFormat="false" ht="15.75" hidden="false" customHeight="true" outlineLevel="0" collapsed="false">
      <c r="A37" s="70" t="s">
        <v>193</v>
      </c>
      <c r="B37" s="71" t="s">
        <v>194</v>
      </c>
      <c r="C37" s="101" t="s">
        <v>388</v>
      </c>
      <c r="D37" s="16" t="s">
        <v>43</v>
      </c>
      <c r="E37" s="73" t="n">
        <v>3</v>
      </c>
      <c r="F37" s="72" t="s">
        <v>128</v>
      </c>
    </row>
    <row r="38" customFormat="false" ht="15.75" hidden="false" customHeight="true" outlineLevel="0" collapsed="false">
      <c r="A38" s="65" t="s">
        <v>222</v>
      </c>
      <c r="B38" s="66" t="s">
        <v>224</v>
      </c>
      <c r="C38" s="104" t="s">
        <v>390</v>
      </c>
      <c r="D38" s="5" t="s">
        <v>18</v>
      </c>
      <c r="E38" s="68" t="n">
        <v>5</v>
      </c>
      <c r="F38" s="67" t="s">
        <v>128</v>
      </c>
    </row>
    <row r="39" customFormat="false" ht="15.75" hidden="false" customHeight="true" outlineLevel="0" collapsed="false">
      <c r="A39" s="70" t="s">
        <v>228</v>
      </c>
      <c r="B39" s="71" t="s">
        <v>229</v>
      </c>
      <c r="C39" s="105" t="s">
        <v>390</v>
      </c>
      <c r="D39" s="5" t="s">
        <v>18</v>
      </c>
      <c r="E39" s="73" t="n">
        <v>5</v>
      </c>
      <c r="F39" s="72" t="s">
        <v>128</v>
      </c>
    </row>
    <row r="40" customFormat="false" ht="15.75" hidden="false" customHeight="true" outlineLevel="0" collapsed="false">
      <c r="A40" s="65" t="s">
        <v>234</v>
      </c>
      <c r="B40" s="66" t="s">
        <v>235</v>
      </c>
      <c r="C40" s="104" t="s">
        <v>390</v>
      </c>
      <c r="D40" s="16" t="s">
        <v>43</v>
      </c>
      <c r="E40" s="68" t="n">
        <v>3</v>
      </c>
      <c r="F40" s="67" t="s">
        <v>128</v>
      </c>
    </row>
    <row r="41" customFormat="false" ht="15.75" hidden="false" customHeight="true" outlineLevel="0" collapsed="false">
      <c r="A41" s="70" t="s">
        <v>239</v>
      </c>
      <c r="B41" s="71" t="s">
        <v>240</v>
      </c>
      <c r="C41" s="105" t="s">
        <v>390</v>
      </c>
      <c r="D41" s="16" t="s">
        <v>43</v>
      </c>
      <c r="E41" s="73" t="n">
        <v>3</v>
      </c>
      <c r="F41" s="72" t="s">
        <v>128</v>
      </c>
    </row>
    <row r="42" customFormat="false" ht="15.75" hidden="false" customHeight="true" outlineLevel="0" collapsed="false">
      <c r="A42" s="65" t="s">
        <v>77</v>
      </c>
      <c r="B42" s="66" t="s">
        <v>78</v>
      </c>
      <c r="C42" s="98" t="s">
        <v>386</v>
      </c>
      <c r="D42" s="16" t="s">
        <v>43</v>
      </c>
      <c r="E42" s="68" t="n">
        <v>2</v>
      </c>
      <c r="F42" s="106" t="s">
        <v>82</v>
      </c>
    </row>
    <row r="43" customFormat="false" ht="15.75" hidden="false" customHeight="true" outlineLevel="0" collapsed="false">
      <c r="A43" s="70" t="s">
        <v>96</v>
      </c>
      <c r="B43" s="71" t="s">
        <v>98</v>
      </c>
      <c r="C43" s="91" t="s">
        <v>387</v>
      </c>
      <c r="D43" s="21" t="s">
        <v>97</v>
      </c>
      <c r="E43" s="73" t="n">
        <v>2</v>
      </c>
      <c r="F43" s="107" t="s">
        <v>82</v>
      </c>
    </row>
    <row r="44" customFormat="false" ht="15.75" hidden="false" customHeight="true" outlineLevel="0" collapsed="false">
      <c r="A44" s="65" t="s">
        <v>159</v>
      </c>
      <c r="B44" s="66" t="s">
        <v>160</v>
      </c>
      <c r="C44" s="95" t="s">
        <v>385</v>
      </c>
      <c r="D44" s="16" t="s">
        <v>43</v>
      </c>
      <c r="E44" s="68" t="n">
        <v>3</v>
      </c>
      <c r="F44" s="106" t="s">
        <v>82</v>
      </c>
    </row>
    <row r="45" customFormat="false" ht="15.75" hidden="false" customHeight="true" outlineLevel="0" collapsed="false">
      <c r="A45" s="70" t="s">
        <v>164</v>
      </c>
      <c r="B45" s="71" t="s">
        <v>165</v>
      </c>
      <c r="C45" s="94" t="s">
        <v>385</v>
      </c>
      <c r="D45" s="16" t="s">
        <v>43</v>
      </c>
      <c r="E45" s="73" t="n">
        <v>3</v>
      </c>
      <c r="F45" s="107" t="s">
        <v>82</v>
      </c>
    </row>
    <row r="46" customFormat="false" ht="15.75" hidden="false" customHeight="true" outlineLevel="0" collapsed="false">
      <c r="A46" s="65" t="s">
        <v>188</v>
      </c>
      <c r="B46" s="66" t="s">
        <v>189</v>
      </c>
      <c r="C46" s="100" t="s">
        <v>388</v>
      </c>
      <c r="D46" s="16" t="s">
        <v>43</v>
      </c>
      <c r="E46" s="68" t="n">
        <v>3</v>
      </c>
      <c r="F46" s="106" t="s">
        <v>82</v>
      </c>
    </row>
    <row r="47" customFormat="false" ht="15.75" hidden="false" customHeight="true" outlineLevel="0" collapsed="false">
      <c r="A47" s="70" t="s">
        <v>217</v>
      </c>
      <c r="B47" s="71" t="s">
        <v>218</v>
      </c>
      <c r="C47" s="102" t="s">
        <v>389</v>
      </c>
      <c r="D47" s="16" t="s">
        <v>43</v>
      </c>
      <c r="E47" s="73" t="n">
        <v>2</v>
      </c>
      <c r="F47" s="107" t="s">
        <v>82</v>
      </c>
    </row>
    <row r="48" customFormat="false" ht="15.75" hidden="false" customHeight="true" outlineLevel="0" collapsed="false">
      <c r="A48" s="65" t="s">
        <v>244</v>
      </c>
      <c r="B48" s="66" t="s">
        <v>246</v>
      </c>
      <c r="C48" s="95" t="s">
        <v>391</v>
      </c>
      <c r="D48" s="5" t="s">
        <v>18</v>
      </c>
      <c r="E48" s="68" t="n">
        <v>8</v>
      </c>
      <c r="F48" s="106" t="s">
        <v>82</v>
      </c>
    </row>
    <row r="49" customFormat="false" ht="15.75" hidden="false" customHeight="true" outlineLevel="0" collapsed="false">
      <c r="A49" s="70" t="s">
        <v>251</v>
      </c>
      <c r="B49" s="71" t="s">
        <v>252</v>
      </c>
      <c r="C49" s="94" t="s">
        <v>391</v>
      </c>
      <c r="D49" s="5" t="s">
        <v>18</v>
      </c>
      <c r="E49" s="73" t="n">
        <v>5</v>
      </c>
      <c r="F49" s="107" t="s">
        <v>82</v>
      </c>
    </row>
    <row r="50" customFormat="false" ht="15.75" hidden="false" customHeight="true" outlineLevel="0" collapsed="false">
      <c r="A50" s="65" t="s">
        <v>256</v>
      </c>
      <c r="B50" s="66" t="s">
        <v>257</v>
      </c>
      <c r="C50" s="95" t="s">
        <v>391</v>
      </c>
      <c r="D50" s="16" t="s">
        <v>43</v>
      </c>
      <c r="E50" s="68" t="n">
        <v>3</v>
      </c>
      <c r="F50" s="106" t="s">
        <v>82</v>
      </c>
    </row>
    <row r="51" customFormat="false" ht="15.75" hidden="false" customHeight="true" outlineLevel="0" collapsed="false">
      <c r="A51" s="70" t="s">
        <v>261</v>
      </c>
      <c r="B51" s="71" t="s">
        <v>263</v>
      </c>
      <c r="C51" s="96" t="s">
        <v>392</v>
      </c>
      <c r="D51" s="5" t="s">
        <v>18</v>
      </c>
      <c r="E51" s="73" t="n">
        <v>5</v>
      </c>
      <c r="F51" s="107" t="s">
        <v>82</v>
      </c>
    </row>
    <row r="52" customFormat="false" ht="15.75" hidden="false" customHeight="true" outlineLevel="0" collapsed="false">
      <c r="A52" s="65" t="s">
        <v>267</v>
      </c>
      <c r="B52" s="66" t="s">
        <v>268</v>
      </c>
      <c r="C52" s="98" t="s">
        <v>392</v>
      </c>
      <c r="D52" s="5" t="s">
        <v>18</v>
      </c>
      <c r="E52" s="68" t="n">
        <v>5</v>
      </c>
      <c r="F52" s="106" t="s">
        <v>82</v>
      </c>
    </row>
    <row r="53" customFormat="false" ht="15.75" hidden="false" customHeight="true" outlineLevel="0" collapsed="false">
      <c r="A53" s="70" t="s">
        <v>272</v>
      </c>
      <c r="B53" s="71" t="s">
        <v>273</v>
      </c>
      <c r="C53" s="96" t="s">
        <v>392</v>
      </c>
      <c r="D53" s="16" t="s">
        <v>43</v>
      </c>
      <c r="E53" s="73" t="n">
        <v>3</v>
      </c>
      <c r="F53" s="107" t="s">
        <v>82</v>
      </c>
    </row>
    <row r="54" customFormat="false" ht="15.75" hidden="false" customHeight="true" outlineLevel="0" collapsed="false">
      <c r="A54" s="65" t="s">
        <v>277</v>
      </c>
      <c r="B54" s="66" t="s">
        <v>278</v>
      </c>
      <c r="C54" s="98" t="s">
        <v>392</v>
      </c>
      <c r="D54" s="16" t="s">
        <v>43</v>
      </c>
      <c r="E54" s="68" t="n">
        <v>3</v>
      </c>
      <c r="F54" s="106" t="s">
        <v>82</v>
      </c>
    </row>
    <row r="55" customFormat="false" ht="15.75" hidden="false" customHeight="true" outlineLevel="0" collapsed="false">
      <c r="A55" s="70" t="s">
        <v>282</v>
      </c>
      <c r="B55" s="71" t="s">
        <v>284</v>
      </c>
      <c r="C55" s="89" t="s">
        <v>383</v>
      </c>
      <c r="D55" s="5" t="s">
        <v>18</v>
      </c>
      <c r="E55" s="73" t="n">
        <v>3</v>
      </c>
      <c r="F55" s="108" t="s">
        <v>289</v>
      </c>
    </row>
    <row r="56" customFormat="false" ht="15.75" hidden="false" customHeight="true" outlineLevel="0" collapsed="false">
      <c r="A56" s="65" t="s">
        <v>290</v>
      </c>
      <c r="B56" s="66" t="s">
        <v>291</v>
      </c>
      <c r="C56" s="93" t="s">
        <v>384</v>
      </c>
      <c r="D56" s="22" t="s">
        <v>104</v>
      </c>
      <c r="E56" s="68" t="n">
        <v>5</v>
      </c>
      <c r="F56" s="109" t="s">
        <v>289</v>
      </c>
    </row>
    <row r="57" customFormat="false" ht="15.75" hidden="false" customHeight="true" outlineLevel="0" collapsed="false">
      <c r="A57" s="70" t="s">
        <v>296</v>
      </c>
      <c r="B57" s="71" t="s">
        <v>297</v>
      </c>
      <c r="C57" s="94" t="s">
        <v>385</v>
      </c>
      <c r="D57" s="5" t="s">
        <v>18</v>
      </c>
      <c r="E57" s="73" t="n">
        <v>3</v>
      </c>
      <c r="F57" s="108" t="s">
        <v>289</v>
      </c>
    </row>
    <row r="58" customFormat="false" ht="15.75" hidden="false" customHeight="true" outlineLevel="0" collapsed="false">
      <c r="A58" s="65" t="s">
        <v>301</v>
      </c>
      <c r="B58" s="66" t="s">
        <v>302</v>
      </c>
      <c r="C58" s="100" t="s">
        <v>388</v>
      </c>
      <c r="D58" s="5" t="s">
        <v>18</v>
      </c>
      <c r="E58" s="68" t="n">
        <v>3</v>
      </c>
      <c r="F58" s="109" t="s">
        <v>289</v>
      </c>
    </row>
    <row r="59" customFormat="false" ht="15.75" hidden="false" customHeight="true" outlineLevel="0" collapsed="false">
      <c r="A59" s="70" t="s">
        <v>306</v>
      </c>
      <c r="B59" s="71" t="s">
        <v>307</v>
      </c>
      <c r="C59" s="105" t="s">
        <v>390</v>
      </c>
      <c r="D59" s="16" t="s">
        <v>43</v>
      </c>
      <c r="E59" s="73" t="n">
        <v>8</v>
      </c>
      <c r="F59" s="108" t="s">
        <v>289</v>
      </c>
    </row>
  </sheetData>
  <mergeCells count="2">
    <mergeCell ref="A1:F1"/>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24"/>
    <col collapsed="false" customWidth="true" hidden="false" outlineLevel="0" max="4" min="4" style="0" width="18"/>
    <col collapsed="false" customWidth="true" hidden="false" outlineLevel="0" max="5" min="5" style="0" width="24"/>
    <col collapsed="false" customWidth="true" hidden="false" outlineLevel="0" max="6" min="6" style="0" width="18"/>
    <col collapsed="false" customWidth="true" hidden="false" outlineLevel="0" max="7" min="7" style="0" width="24"/>
    <col collapsed="false" customWidth="true" hidden="false" outlineLevel="0" max="8" min="8" style="0" width="18"/>
  </cols>
  <sheetData>
    <row r="1" customFormat="false" ht="33.75" hidden="false" customHeight="true" outlineLevel="0" collapsed="false">
      <c r="A1" s="1" t="s">
        <v>393</v>
      </c>
      <c r="B1" s="1"/>
      <c r="C1" s="1"/>
      <c r="D1" s="1"/>
      <c r="E1" s="1"/>
      <c r="F1" s="1"/>
      <c r="G1" s="1"/>
      <c r="H1" s="1"/>
    </row>
    <row r="2" customFormat="false" ht="21.75" hidden="false" customHeight="true" outlineLevel="0" collapsed="false">
      <c r="A2" s="110" t="s">
        <v>394</v>
      </c>
      <c r="B2" s="111" t="s">
        <v>395</v>
      </c>
      <c r="C2" s="112" t="s">
        <v>396</v>
      </c>
      <c r="D2" s="113" t="s">
        <v>397</v>
      </c>
      <c r="E2" s="114" t="s">
        <v>398</v>
      </c>
      <c r="F2" s="115" t="s">
        <v>399</v>
      </c>
    </row>
    <row r="3" customFormat="false" ht="36" hidden="false" customHeight="true" outlineLevel="0" collapsed="false">
      <c r="A3" s="116" t="n">
        <f aca="false">COUNTA('User Stories'!A3:A50)</f>
        <v>48</v>
      </c>
      <c r="B3" s="117" t="n">
        <f aca="false">SUM('User Stories'!J3:J50)</f>
        <v>179</v>
      </c>
      <c r="C3" s="118" t="s">
        <v>400</v>
      </c>
      <c r="D3" s="119" t="s">
        <v>401</v>
      </c>
      <c r="E3" s="120" t="s">
        <v>402</v>
      </c>
      <c r="F3" s="121" t="s">
        <v>403</v>
      </c>
    </row>
    <row r="5" customFormat="false" ht="19.5" hidden="false" customHeight="true" outlineLevel="0" collapsed="false">
      <c r="A5" s="122" t="s">
        <v>404</v>
      </c>
      <c r="B5" s="122"/>
      <c r="C5" s="122" t="s">
        <v>405</v>
      </c>
      <c r="D5" s="122"/>
      <c r="E5" s="122" t="s">
        <v>406</v>
      </c>
      <c r="F5" s="122"/>
    </row>
    <row r="6" customFormat="false" ht="19.5" hidden="false" customHeight="true" outlineLevel="0" collapsed="false">
      <c r="A6" s="123" t="s">
        <v>104</v>
      </c>
      <c r="B6" s="124" t="s">
        <v>407</v>
      </c>
      <c r="C6" s="125" t="s">
        <v>25</v>
      </c>
      <c r="D6" s="126" t="s">
        <v>408</v>
      </c>
      <c r="E6" s="33" t="s">
        <v>24</v>
      </c>
      <c r="F6" s="126" t="s">
        <v>409</v>
      </c>
    </row>
    <row r="7" customFormat="false" ht="19.5" hidden="false" customHeight="true" outlineLevel="0" collapsed="false">
      <c r="A7" s="127" t="s">
        <v>18</v>
      </c>
      <c r="B7" s="128" t="s">
        <v>410</v>
      </c>
      <c r="C7" s="129" t="s">
        <v>56</v>
      </c>
      <c r="D7" s="130" t="s">
        <v>411</v>
      </c>
      <c r="E7" s="47" t="s">
        <v>55</v>
      </c>
      <c r="F7" s="131" t="s">
        <v>412</v>
      </c>
    </row>
    <row r="8" customFormat="false" ht="19.5" hidden="false" customHeight="true" outlineLevel="0" collapsed="false">
      <c r="A8" s="132" t="s">
        <v>43</v>
      </c>
      <c r="B8" s="131" t="s">
        <v>413</v>
      </c>
      <c r="C8" s="132" t="s">
        <v>83</v>
      </c>
      <c r="D8" s="131" t="s">
        <v>414</v>
      </c>
      <c r="E8" s="40" t="s">
        <v>64</v>
      </c>
      <c r="F8" s="124" t="s">
        <v>415</v>
      </c>
    </row>
    <row r="9" customFormat="false" ht="19.5" hidden="false" customHeight="true" outlineLevel="0" collapsed="false">
      <c r="A9" s="129" t="s">
        <v>97</v>
      </c>
      <c r="B9" s="130" t="s">
        <v>416</v>
      </c>
      <c r="C9" s="127" t="s">
        <v>169</v>
      </c>
      <c r="D9" s="128" t="s">
        <v>417</v>
      </c>
      <c r="E9" s="49" t="s">
        <v>128</v>
      </c>
      <c r="F9" s="133" t="s">
        <v>418</v>
      </c>
    </row>
    <row r="10" customFormat="false" ht="19.5" hidden="false" customHeight="true" outlineLevel="0" collapsed="false">
      <c r="E10" s="43" t="s">
        <v>82</v>
      </c>
      <c r="F10" s="128" t="s">
        <v>419</v>
      </c>
    </row>
    <row r="11" customFormat="false" ht="19.5" hidden="false" customHeight="true" outlineLevel="0" collapsed="false">
      <c r="E11" s="37" t="s">
        <v>289</v>
      </c>
      <c r="F11" s="134" t="s">
        <v>420</v>
      </c>
    </row>
  </sheetData>
  <mergeCells count="4">
    <mergeCell ref="A1:H1"/>
    <mergeCell ref="A5:B5"/>
    <mergeCell ref="C5:D5"/>
    <mergeCell ref="E5:F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2026-03-04T07:13:11Z</dcterms:created>
  <dc:creator>openpyxl</dc:creator>
  <dc:description/>
  <dc:language>en-US</dc:language>
  <cp:lastModifiedBy/>
  <dcterms:modified xsi:type="dcterms:W3CDTF">2026-03-04T07:13:11Z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